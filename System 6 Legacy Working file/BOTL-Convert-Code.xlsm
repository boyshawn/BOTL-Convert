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0035" windowHeight="8235"/>
  </bookViews>
  <sheets>
    <sheet name="Test" sheetId="1" r:id="rId1"/>
    <sheet name="Test Result" sheetId="2" r:id="rId2"/>
    <sheet name="Sheet3" sheetId="3" r:id="rId3"/>
    <sheet name="Segment Definition" sheetId="4" r:id="rId4"/>
  </sheets>
  <definedNames>
    <definedName name="botl_segment" localSheetId="3">'Segment Definition'!$A$1:$F$352</definedName>
    <definedName name="_xlnm.Print_Titles" localSheetId="3">'Segment Definition'!$1:$1</definedName>
  </definedNames>
  <calcPr calcId="145621"/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8" i="4"/>
  <c r="G19" i="4"/>
  <c r="G20" i="4"/>
  <c r="G21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46" i="4"/>
  <c r="G47" i="4"/>
  <c r="G48" i="4"/>
  <c r="G50" i="4"/>
  <c r="G51" i="4"/>
  <c r="G52" i="4"/>
  <c r="G53" i="4"/>
  <c r="G54" i="4"/>
  <c r="G55" i="4"/>
  <c r="G56" i="4"/>
  <c r="G57" i="4"/>
  <c r="G58" i="4"/>
  <c r="G59" i="4"/>
  <c r="G61" i="4"/>
  <c r="G62" i="4"/>
  <c r="G63" i="4"/>
  <c r="G64" i="4"/>
  <c r="G66" i="4"/>
  <c r="G67" i="4"/>
  <c r="G68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6" i="4"/>
  <c r="G97" i="4"/>
  <c r="G98" i="4"/>
  <c r="G100" i="4"/>
  <c r="G102" i="4"/>
  <c r="G103" i="4"/>
  <c r="G104" i="4"/>
  <c r="G105" i="4"/>
  <c r="G107" i="4"/>
  <c r="G108" i="4"/>
  <c r="G109" i="4"/>
  <c r="G111" i="4"/>
  <c r="G112" i="4"/>
  <c r="G113" i="4"/>
  <c r="G114" i="4"/>
  <c r="G115" i="4"/>
  <c r="G116" i="4"/>
  <c r="G117" i="4"/>
  <c r="G118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4" i="4"/>
  <c r="G145" i="4"/>
  <c r="G146" i="4"/>
  <c r="G148" i="4"/>
  <c r="G149" i="4"/>
  <c r="G150" i="4"/>
  <c r="G151" i="4"/>
  <c r="G152" i="4"/>
  <c r="G154" i="4"/>
  <c r="G155" i="4"/>
  <c r="G156" i="4"/>
  <c r="G158" i="4"/>
  <c r="G159" i="4"/>
  <c r="G160" i="4"/>
  <c r="G161" i="4"/>
  <c r="G162" i="4"/>
  <c r="G163" i="4"/>
  <c r="G164" i="4"/>
  <c r="G165" i="4"/>
  <c r="G166" i="4"/>
  <c r="G167" i="4"/>
  <c r="G168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5" i="4"/>
  <c r="G206" i="4"/>
  <c r="G207" i="4"/>
  <c r="G208" i="4"/>
  <c r="G210" i="4"/>
  <c r="G211" i="4"/>
  <c r="G212" i="4"/>
  <c r="G213" i="4"/>
  <c r="G214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4" i="4"/>
  <c r="G245" i="4"/>
  <c r="G247" i="4"/>
  <c r="G248" i="4"/>
  <c r="G249" i="4"/>
  <c r="G250" i="4"/>
  <c r="G252" i="4"/>
  <c r="G253" i="4"/>
  <c r="G255" i="4"/>
  <c r="G256" i="4"/>
  <c r="G257" i="4"/>
  <c r="G259" i="4"/>
  <c r="G260" i="4"/>
  <c r="G261" i="4"/>
  <c r="G262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7" i="4"/>
  <c r="G278" i="4"/>
  <c r="G279" i="4"/>
  <c r="G280" i="4"/>
  <c r="G281" i="4"/>
  <c r="G282" i="4"/>
  <c r="G284" i="4"/>
  <c r="G285" i="4"/>
  <c r="G286" i="4"/>
  <c r="G287" i="4"/>
  <c r="G288" i="4"/>
  <c r="G290" i="4"/>
  <c r="G291" i="4"/>
  <c r="G292" i="4"/>
  <c r="G294" i="4"/>
  <c r="G295" i="4"/>
  <c r="G296" i="4"/>
  <c r="G297" i="4"/>
  <c r="G299" i="4"/>
  <c r="G300" i="4"/>
  <c r="G302" i="4"/>
  <c r="G303" i="4"/>
  <c r="G304" i="4"/>
  <c r="G306" i="4"/>
  <c r="G307" i="4"/>
  <c r="G308" i="4"/>
  <c r="G309" i="4"/>
  <c r="G310" i="4"/>
  <c r="G312" i="4"/>
  <c r="G313" i="4"/>
  <c r="G315" i="4"/>
  <c r="G316" i="4"/>
  <c r="G317" i="4"/>
  <c r="G318" i="4"/>
  <c r="G319" i="4"/>
  <c r="G320" i="4"/>
  <c r="G321" i="4"/>
  <c r="G323" i="4"/>
  <c r="G324" i="4"/>
  <c r="G326" i="4"/>
  <c r="G327" i="4"/>
  <c r="G328" i="4"/>
  <c r="G329" i="4"/>
  <c r="G330" i="4"/>
  <c r="G331" i="4"/>
  <c r="G333" i="4"/>
  <c r="G334" i="4"/>
  <c r="G336" i="4"/>
  <c r="G337" i="4"/>
  <c r="G338" i="4"/>
  <c r="G339" i="4"/>
  <c r="G340" i="4"/>
  <c r="G341" i="4"/>
  <c r="G342" i="4"/>
  <c r="G343" i="4"/>
  <c r="G345" i="4"/>
  <c r="G346" i="4"/>
  <c r="G347" i="4"/>
  <c r="G348" i="4"/>
  <c r="G349" i="4"/>
  <c r="G350" i="4"/>
  <c r="G351" i="4"/>
  <c r="G2" i="4"/>
</calcChain>
</file>

<file path=xl/connections.xml><?xml version="1.0" encoding="utf-8"?>
<connections xmlns="http://schemas.openxmlformats.org/spreadsheetml/2006/main">
  <connection id="1" name="botl_segment1" type="6" refreshedVersion="4" background="1" saveData="1">
    <textPr codePage="437" sourceFile="C:\Documents and Settings\dxpang\My Documents\BOTL Convert\botl_segment.txt" delimited="0" space="1" consecutive="1">
      <textFields count="9">
        <textField type="text"/>
        <textField position="18"/>
        <textField position="22"/>
        <textField position="60"/>
        <textField position="69"/>
        <textField position="72"/>
        <textField position="95"/>
        <textField position="102"/>
        <textField position="109"/>
      </textFields>
    </textPr>
  </connection>
</connections>
</file>

<file path=xl/sharedStrings.xml><?xml version="1.0" encoding="utf-8"?>
<sst xmlns="http://schemas.openxmlformats.org/spreadsheetml/2006/main" count="1028" uniqueCount="429">
  <si>
    <t>Address Line 1</t>
  </si>
  <si>
    <t>Address Line 2</t>
  </si>
  <si>
    <t>Address Line 3</t>
  </si>
  <si>
    <t>Address Line 4</t>
  </si>
  <si>
    <t>Postal Code</t>
  </si>
  <si>
    <t>City</t>
  </si>
  <si>
    <t>Province Code</t>
  </si>
  <si>
    <t>Country Code</t>
  </si>
  <si>
    <t>Phone Number</t>
  </si>
  <si>
    <t>FAX</t>
  </si>
  <si>
    <t>Company  Code</t>
  </si>
  <si>
    <t>Cell Phone</t>
  </si>
  <si>
    <t>60 Trevose Crescent</t>
  </si>
  <si>
    <t>#04-23</t>
  </si>
  <si>
    <t>Singapore</t>
  </si>
  <si>
    <t>SG</t>
  </si>
  <si>
    <t>00001</t>
  </si>
  <si>
    <t>91264846</t>
  </si>
  <si>
    <t>Address</t>
  </si>
  <si>
    <t>Last Name</t>
  </si>
  <si>
    <t>First Name</t>
  </si>
  <si>
    <t>Middle Name</t>
  </si>
  <si>
    <t>Nickname</t>
  </si>
  <si>
    <t>Formal Name</t>
  </si>
  <si>
    <t>Title</t>
  </si>
  <si>
    <t>Category Code</t>
  </si>
  <si>
    <t>Personal ID</t>
  </si>
  <si>
    <t>Name Sequence Code</t>
  </si>
  <si>
    <t>Birth Date</t>
  </si>
  <si>
    <t>Sex Code</t>
  </si>
  <si>
    <t>Email Address</t>
  </si>
  <si>
    <t>Email Fulfillment</t>
  </si>
  <si>
    <t>Personal Info</t>
  </si>
  <si>
    <t>Tan</t>
  </si>
  <si>
    <t>Kim</t>
  </si>
  <si>
    <t>Song</t>
  </si>
  <si>
    <t>Bo Song</t>
  </si>
  <si>
    <t>Mr. Bo Song</t>
  </si>
  <si>
    <t>01</t>
  </si>
  <si>
    <t>S1799565J</t>
  </si>
  <si>
    <t>02</t>
  </si>
  <si>
    <t>05/10/1967</t>
  </si>
  <si>
    <t>noemail@hotmail.com</t>
  </si>
  <si>
    <t>Y</t>
  </si>
  <si>
    <t>RunID</t>
  </si>
  <si>
    <t>Policy Number</t>
  </si>
  <si>
    <t>Begin</t>
  </si>
  <si>
    <t>SMK000000039767</t>
  </si>
  <si>
    <t>Tag</t>
  </si>
  <si>
    <t>#</t>
  </si>
  <si>
    <t>Caption</t>
  </si>
  <si>
    <t>Type</t>
  </si>
  <si>
    <t>Max Size</t>
  </si>
  <si>
    <t>Description/Comments</t>
  </si>
  <si>
    <t>ADDRESS</t>
  </si>
  <si>
    <t>string</t>
  </si>
  <si>
    <t>Must be 'ADDRESS'</t>
  </si>
  <si>
    <t>New or Update</t>
  </si>
  <si>
    <t>Must be 'new' or 'update'</t>
  </si>
  <si>
    <t>Address Id</t>
  </si>
  <si>
    <t>integer</t>
  </si>
  <si>
    <t>For 'new', value is system generated value so provide macro name, e.g. $_addr1.</t>
  </si>
  <si>
    <t>Province or State Code</t>
  </si>
  <si>
    <t>Value in Message Category 36 (Provinces)</t>
  </si>
  <si>
    <t>Value in Message Category 27 (Country)</t>
  </si>
  <si>
    <t>FAX Number</t>
  </si>
  <si>
    <t>Company Code</t>
  </si>
  <si>
    <t>If present, must match entry in IC2_COMPANY_ADDR table.</t>
  </si>
  <si>
    <t>Cell phone</t>
  </si>
  <si>
    <t>ADDRTYPE</t>
  </si>
  <si>
    <t>Must be 'ADDRTYPE'</t>
  </si>
  <si>
    <t>Account ID</t>
  </si>
  <si>
    <t>If new account ID, use account ID from basdemo segment to identify the customer.</t>
  </si>
  <si>
    <t>Address ID</t>
  </si>
  <si>
    <t>If new address use a macro to identify the address id, e.g. $_addr</t>
  </si>
  <si>
    <t>Address Type Code</t>
  </si>
  <si>
    <t>Value in Message Category 39 (Address Types)</t>
  </si>
  <si>
    <t>BASDEMO</t>
  </si>
  <si>
    <t>Must be 'BASDEMO'</t>
  </si>
  <si>
    <t>For 'new', value is system generated value so provide macro name, e.g. $_acct1.</t>
  </si>
  <si>
    <t>Last Name (Surname)</t>
  </si>
  <si>
    <t>Will be built if not provided.</t>
  </si>
  <si>
    <t>Value in Message Category 3 (Caller Title)</t>
  </si>
  <si>
    <t>Value in Message Category 21 (Customer Category)</t>
  </si>
  <si>
    <t>Personality Code</t>
  </si>
  <si>
    <t>Profit Code</t>
  </si>
  <si>
    <t>Value in Message Category ZA (Name sequence combination)</t>
  </si>
  <si>
    <t>date</t>
  </si>
  <si>
    <t>Must be supplied before an individual can become an insured.</t>
  </si>
  <si>
    <t>Value in Message Category 16 (Sex)</t>
  </si>
  <si>
    <t>EMail Address</t>
  </si>
  <si>
    <t>EMail Fulfillment</t>
  </si>
  <si>
    <t>Value is 'Y' if email fulfillment is desired, 'N' otherwise. 'N' is default.</t>
  </si>
  <si>
    <t>BEGIN</t>
  </si>
  <si>
    <t>Must be 'BEGIN'</t>
  </si>
  <si>
    <t>Sequence Number</t>
  </si>
  <si>
    <t>All transactions require a unique sequence within a run.</t>
  </si>
  <si>
    <t>Transaction Code</t>
  </si>
  <si>
    <t>One of...ACT,ADD,ADJ,AJR,CAN,CAR,CCR,CPN,CPR,END,IDN,MRG,NEW,PND,PNR,PRG,RNS,UPC</t>
  </si>
  <si>
    <t>Blank is normal for NEW transactions. May provide policy for NEW transactions to pre-assign policy number.</t>
  </si>
  <si>
    <t>Provider ID</t>
  </si>
  <si>
    <t>This value may, optionally, be assigned by an external provider as a cross reference from the external provider to the policy or transaction.</t>
  </si>
  <si>
    <t>BENEFICIARY</t>
  </si>
  <si>
    <t>Must be 'BENEFICIARY'</t>
  </si>
  <si>
    <t>Product ID</t>
  </si>
  <si>
    <t>May use macro representing account id.</t>
  </si>
  <si>
    <t>Free Text</t>
  </si>
  <si>
    <t xml:space="preserve">string </t>
  </si>
  <si>
    <t>Structured Info 1</t>
  </si>
  <si>
    <t>&lt;30-byte Name&gt;&lt;blank&gt;&lt;15-byte Relationship&gt;&lt;blank&gt;&lt;3-byte Percentage&gt;</t>
  </si>
  <si>
    <t>Structured Info 2</t>
  </si>
  <si>
    <t>Structured Info 3</t>
  </si>
  <si>
    <t>Structured Info 4</t>
  </si>
  <si>
    <t>Structured Info 5</t>
  </si>
  <si>
    <t>BILL</t>
  </si>
  <si>
    <t>Must be 'BILLDATES'</t>
  </si>
  <si>
    <t>Bill Now</t>
  </si>
  <si>
    <t>A value of 1 indicates that immediate billing should be done.</t>
  </si>
  <si>
    <t>Number of Invoices</t>
  </si>
  <si>
    <t>Number of billing periods to bill. 1 is only value currently supported.</t>
  </si>
  <si>
    <t>Reconcile Now</t>
  </si>
  <si>
    <t>A value of 1 indicates that immediate reconciliation should be done.</t>
  </si>
  <si>
    <t>BILLDATES</t>
  </si>
  <si>
    <t>Billed To Date</t>
  </si>
  <si>
    <t>Paid To Date</t>
  </si>
  <si>
    <t>CARDREG</t>
  </si>
  <si>
    <t>Must be 'CARDREG'</t>
  </si>
  <si>
    <t>Card ID</t>
  </si>
  <si>
    <t>Must be empty if 'new' it will be set to (MAX(clst_id) 1) if at least one row exists</t>
  </si>
  <si>
    <t>May use macro for account id.   This is the policy holder account id.</t>
  </si>
  <si>
    <t>Card Type ID</t>
  </si>
  <si>
    <t>Card Account Number</t>
  </si>
  <si>
    <t>Card Holder Name</t>
  </si>
  <si>
    <t>Remark 1</t>
  </si>
  <si>
    <t>Remark 2</t>
  </si>
  <si>
    <t>Card Status</t>
  </si>
  <si>
    <t>Defaults to 1 - 'Active Status' 0 - Inactive Status</t>
  </si>
  <si>
    <t>Operator ID</t>
  </si>
  <si>
    <t>Cancel Reason</t>
  </si>
  <si>
    <t>Must match msgd_id for msgd_category 'SF'. Should be empty if 'Active' status.</t>
  </si>
  <si>
    <t>Lost Card Timestamp</t>
  </si>
  <si>
    <t>Leavy empty if status is 'Active' - Date stored in timestamp format</t>
  </si>
  <si>
    <t>Lost Card Location</t>
  </si>
  <si>
    <t>Leave empty if status is 'Active'</t>
  </si>
  <si>
    <t>Issuer Response</t>
  </si>
  <si>
    <t>Must match msgd_id for msgd_category 'SG'. Should be empty if 'Active' status.</t>
  </si>
  <si>
    <t>Issuer Response Date</t>
  </si>
  <si>
    <t>Leave empty if status is 'Active' - Stored as timestamp format.</t>
  </si>
  <si>
    <t>Report Timestamp</t>
  </si>
  <si>
    <t>Leave empty if status is 'Active'. Defaults to current timestamp</t>
  </si>
  <si>
    <t>Print Indicator</t>
  </si>
  <si>
    <t>May be 'print', 'noprint' or 'suspend' to indicate SuperPrint print request.</t>
  </si>
  <si>
    <t>DEPENDENT</t>
  </si>
  <si>
    <t>Must be 'DEPENDENT'</t>
  </si>
  <si>
    <t>Primary Account ID.  May use macro representing account id.</t>
  </si>
  <si>
    <t>Dependent Account ID</t>
  </si>
  <si>
    <t>Person related to Primary Account ID. May use macro representing account id.</t>
  </si>
  <si>
    <t>Relationship Code</t>
  </si>
  <si>
    <t>Value in Message Category 32 (Relationships).  Relationship to Primary Account ID.</t>
  </si>
  <si>
    <t>DIARY</t>
  </si>
  <si>
    <t>Must be 'DIARY'</t>
  </si>
  <si>
    <t>Message</t>
  </si>
  <si>
    <t>END</t>
  </si>
  <si>
    <t>Must be 'END'</t>
  </si>
  <si>
    <t>EXCLUSION</t>
  </si>
  <si>
    <t>Must be 'EXCLUSION'</t>
  </si>
  <si>
    <t>Exclusion Code</t>
  </si>
  <si>
    <t>Must match entry in POL_EXCLUSIONS table.</t>
  </si>
  <si>
    <t>HEALHIST</t>
  </si>
  <si>
    <t>Must be 'HEALHIST'</t>
  </si>
  <si>
    <t>History</t>
  </si>
  <si>
    <t>INDEXATION</t>
  </si>
  <si>
    <t>Must be 'INDEXATION'</t>
  </si>
  <si>
    <t>Required for individually rated product. May use macro representing account id.</t>
  </si>
  <si>
    <t>Set Number</t>
  </si>
  <si>
    <t>Index Start Date</t>
  </si>
  <si>
    <t>Must be policy effective date or a policy anniversary.  Set to Common Renewal Date if it exists.</t>
  </si>
  <si>
    <t>Status</t>
  </si>
  <si>
    <t>May be 'F' for frozen or 'N' for new.</t>
  </si>
  <si>
    <t>Next Reindex Evaluation</t>
  </si>
  <si>
    <t>May be 'auto' to let system determine next reindexation evaluation date or 'nextbill' for next billing.</t>
  </si>
  <si>
    <t>INSURED</t>
  </si>
  <si>
    <t>Must be 'INSURED'</t>
  </si>
  <si>
    <t>Must be MI, SP or DP.</t>
  </si>
  <si>
    <t>Benefit Level</t>
  </si>
  <si>
    <t>For individually rated product only. Must be level allowed by PM product definition.</t>
  </si>
  <si>
    <t>Benefit Units</t>
  </si>
  <si>
    <t>double</t>
  </si>
  <si>
    <t>For individually rated product only. Must be in PM product units range.</t>
  </si>
  <si>
    <t>Rating Factor 1</t>
  </si>
  <si>
    <t>For individually rated product only. Must match PM product rating factor 1.</t>
  </si>
  <si>
    <t>Rating Factor 2</t>
  </si>
  <si>
    <t>For individually rated product only. Must match PM product rating factor 2.</t>
  </si>
  <si>
    <t>Rating Factor 3</t>
  </si>
  <si>
    <t>For individually rated product only. Must match PM product rating factor 3.</t>
  </si>
  <si>
    <t>Rating Factor 4</t>
  </si>
  <si>
    <t>For individually rated product only. Must match PM product rating factor 4.</t>
  </si>
  <si>
    <t>Rating Factor 5</t>
  </si>
  <si>
    <t>For individually rated product only. Must match PM product rating factor 5.</t>
  </si>
  <si>
    <t>Rating Factor 6</t>
  </si>
  <si>
    <t>For individually rated product only. Must match PM product rating factor 6.</t>
  </si>
  <si>
    <t>Rating Factor 7</t>
  </si>
  <si>
    <t>For individually rated product only. Must match PM product rating factor 7.</t>
  </si>
  <si>
    <t>Rating Factor 8</t>
  </si>
  <si>
    <t>For individually rated product only. Must match PM product rating factor 8.</t>
  </si>
  <si>
    <t>Benefit Rating Factor 1</t>
  </si>
  <si>
    <t>For individually rated product only. Must match PM product benefit rating factor 1.</t>
  </si>
  <si>
    <t>Benefit Rating Factor 2</t>
  </si>
  <si>
    <t>For individually rated product only. Must match PM product benefit rating factor 2.</t>
  </si>
  <si>
    <t>Benefit Rating Factor 3</t>
  </si>
  <si>
    <t>For individually rated product only. Must match PM product benefit rating factor 3.</t>
  </si>
  <si>
    <t>Benefit Rating Factor 4</t>
  </si>
  <si>
    <t>For individually rated product only. Must match PM product benefit rating factor 4.</t>
  </si>
  <si>
    <t>Benefit Rating Factor 5</t>
  </si>
  <si>
    <t>For individually rated product only. Must match PM product benefit rating factor 5.</t>
  </si>
  <si>
    <t>Benefit Rating Factor 6</t>
  </si>
  <si>
    <t>For individually rated product only. Must match PM product benefit rating factor 6.</t>
  </si>
  <si>
    <t>Benefit Rating Factor 7</t>
  </si>
  <si>
    <t>For individually rated product only. Must match PM product benefit rating factor 7.</t>
  </si>
  <si>
    <t>Benefit Rating Factor 8</t>
  </si>
  <si>
    <t>For individually rated product only. Must match PM product benefit rating factor 8.</t>
  </si>
  <si>
    <t>INSURED_REMOVE</t>
  </si>
  <si>
    <t>Must be 'INSURED_REMOVE'</t>
  </si>
  <si>
    <t>MASTER</t>
  </si>
  <si>
    <t>Must be 'MASTER'</t>
  </si>
  <si>
    <t>Policy Holder Address Type</t>
  </si>
  <si>
    <t>Policy Payer Address Type</t>
  </si>
  <si>
    <t>Policy Holder Account ID</t>
  </si>
  <si>
    <t>Policy Payer Account ID</t>
  </si>
  <si>
    <t>MERGE</t>
  </si>
  <si>
    <t>Must be 'MERGE'</t>
  </si>
  <si>
    <t>Account ID of 'Keep' acct</t>
  </si>
  <si>
    <t>Corresponds to account id that we're keeping.</t>
  </si>
  <si>
    <t>Account ID of 'Discard' acct</t>
  </si>
  <si>
    <t>Corresponds to account id that we're discarding.</t>
  </si>
  <si>
    <t>NEWACT</t>
  </si>
  <si>
    <t>Must be 'NEWACT'</t>
  </si>
  <si>
    <t>Event From Date</t>
  </si>
  <si>
    <t>Must be within 1 week of the current date</t>
  </si>
  <si>
    <t>Event To Date</t>
  </si>
  <si>
    <t>Must be later than the 'from' date above</t>
  </si>
  <si>
    <t>Event Destination 1</t>
  </si>
  <si>
    <t>Value in Message Category 27 (Country) (must be at least 1 destination)</t>
  </si>
  <si>
    <t>Event Destination 2</t>
  </si>
  <si>
    <t>Event Destination 3</t>
  </si>
  <si>
    <t>Event Destination 4</t>
  </si>
  <si>
    <t>Event Destination 5</t>
  </si>
  <si>
    <t>Event Destination 6</t>
  </si>
  <si>
    <t>Event Destination 7</t>
  </si>
  <si>
    <t>Event Destination 8</t>
  </si>
  <si>
    <t>PERSDEMO</t>
  </si>
  <si>
    <t>Must be 'PERSDEMO'</t>
  </si>
  <si>
    <t>Call Preference Code</t>
  </si>
  <si>
    <t>Value in Message Category 15 (Prefer Callback)</t>
  </si>
  <si>
    <t>Nationality Code</t>
  </si>
  <si>
    <t>Value in Message Category 6  (Nationality)</t>
  </si>
  <si>
    <t>Race Code</t>
  </si>
  <si>
    <t>Value in Message Category 7  (Race)</t>
  </si>
  <si>
    <t>Religion Code</t>
  </si>
  <si>
    <t>Value in Message Category 8  (Religion)</t>
  </si>
  <si>
    <t>Education Code</t>
  </si>
  <si>
    <t>Value in Message Category 9  (Education)</t>
  </si>
  <si>
    <t>Language Code</t>
  </si>
  <si>
    <t>Value in Message Category 5  (Language)</t>
  </si>
  <si>
    <t>Occupation Code</t>
  </si>
  <si>
    <t>Value in Message Category 10 (Occupation)</t>
  </si>
  <si>
    <t>Industry Code</t>
  </si>
  <si>
    <t>If present, must match IC2_INDSTRY_CD table.</t>
  </si>
  <si>
    <t>Credit Card Code 1</t>
  </si>
  <si>
    <t>If present, must match IC2_CREDIT_CARD table.</t>
  </si>
  <si>
    <t>Credit Card Code 2</t>
  </si>
  <si>
    <t>Credit Card Code 3</t>
  </si>
  <si>
    <t>Credit Card Code 4</t>
  </si>
  <si>
    <t>Credit Card Code 5</t>
  </si>
  <si>
    <t>POLICY</t>
  </si>
  <si>
    <t>Must be 'POLICY'</t>
  </si>
  <si>
    <t>Payment Method Code</t>
  </si>
  <si>
    <t>Value in Message Category L6 (Payment Method).  Must match options for split in LJA_PAY_OPTIONS table.</t>
  </si>
  <si>
    <t>Payment Frequency Code</t>
  </si>
  <si>
    <t>Value in Message Category L5 (Payment Frequency). Must match frequencies specified on LJA_SPLIT record.</t>
  </si>
  <si>
    <t>Bill Account Number</t>
  </si>
  <si>
    <t>Required for Credit Card, GIRO and DDA payment methods.</t>
  </si>
  <si>
    <t>Credit Card Expiration</t>
  </si>
  <si>
    <t>If present, format as M/YY or MM/YY.</t>
  </si>
  <si>
    <t>Bank Code</t>
  </si>
  <si>
    <t>For DDA, must match LJA_PAY_OPTIONS entry.</t>
  </si>
  <si>
    <t>Bank Branch Code</t>
  </si>
  <si>
    <t>Credit Card Code</t>
  </si>
  <si>
    <t>If present, must match LJA_PAY_OPTIONS entry.</t>
  </si>
  <si>
    <t>Tax Jurisdiction</t>
  </si>
  <si>
    <t>Must match available tax jurisdiciations (see taxrep).  Can be blank if none.</t>
  </si>
  <si>
    <t>Miscellaneous Info 1</t>
  </si>
  <si>
    <t xml:space="preserve">string  </t>
  </si>
  <si>
    <t>Miscellaneous Info 2</t>
  </si>
  <si>
    <t>Miscellaneous Info 3</t>
  </si>
  <si>
    <t>Name on Billing</t>
  </si>
  <si>
    <t>Presentation Currency</t>
  </si>
  <si>
    <t>For euro countries, specify the campaign currency or '99' (euro). Leave empty for non-euro countries. Defaults to campaign currency.</t>
  </si>
  <si>
    <t>Collector Code</t>
  </si>
  <si>
    <t>This value will be set for bill method 10 and 20 by BOTL with default values for 30 thru 60.  Payroll will require an entry.</t>
  </si>
  <si>
    <t>Employee Number</t>
  </si>
  <si>
    <t>Associated primarily with ESB policies</t>
  </si>
  <si>
    <t>PREMCHECK</t>
  </si>
  <si>
    <t>Must be 'PREMCHECK'</t>
  </si>
  <si>
    <t>Premium Amount</t>
  </si>
  <si>
    <t>PremCheck Action</t>
  </si>
  <si>
    <t>Must be 'suspend' or 'error'. Defaults to 'suspend' if not provided.</t>
  </si>
  <si>
    <t>PremCheck Tax Indicator</t>
  </si>
  <si>
    <t>Must be 'tax' or 'notax'. Defaults to 'notax' if not provided.</t>
  </si>
  <si>
    <t>PROD_DATA</t>
  </si>
  <si>
    <t>Must be 'PROD_DATA'</t>
  </si>
  <si>
    <t>Is needed when specific data collected at insured level; otherwise use a space or macro.</t>
  </si>
  <si>
    <t>Counter</t>
  </si>
  <si>
    <t>May only contain a 1 if product only permits one data collection per product/insured.</t>
  </si>
  <si>
    <t>Codes and Data</t>
  </si>
  <si>
    <t>Contains msg codes and specific data values in |aa,ERICSSON!ab,RX292!ac,ABC12345| format</t>
  </si>
  <si>
    <t>PRODUCT</t>
  </si>
  <si>
    <t>Must be 'PRODUCT'</t>
  </si>
  <si>
    <t>Coverage Type Code</t>
  </si>
  <si>
    <t>Who is covered - one of MO,MS,MF,MD,SO,SD,DO</t>
  </si>
  <si>
    <t>Group Benefit Level</t>
  </si>
  <si>
    <t>For group rated product only. Must be level allowed by PM product definition.</t>
  </si>
  <si>
    <t>Number of Eligible Dependents</t>
  </si>
  <si>
    <t>For group rated product only. Must match PM product rating factor 1.</t>
  </si>
  <si>
    <t>For group rated product only. Must match PM product rating factor 2.</t>
  </si>
  <si>
    <t>For group rated product only. Must match PM product rating factor 3.</t>
  </si>
  <si>
    <t>For group rated product only. Must match PM product rating factor 4.</t>
  </si>
  <si>
    <t>For group rated product only. Must match PM product rating factor 5.</t>
  </si>
  <si>
    <t>For group rated product only. Must match PM product rating factor 6.</t>
  </si>
  <si>
    <t>For group rated product only. Must match PM product rating factor 7.</t>
  </si>
  <si>
    <t>For group rated product only. Must match PM product rating factor 8.</t>
  </si>
  <si>
    <t>For group rated product only. Must be in PM product units range.</t>
  </si>
  <si>
    <t>Tax Exclusion Code</t>
  </si>
  <si>
    <t>Value in Message Category SE (S6 Tax Exclusion Reasons)</t>
  </si>
  <si>
    <t>Premium Override Amount</t>
  </si>
  <si>
    <t>Premium Override Expire</t>
  </si>
  <si>
    <t>Premium Override Reason</t>
  </si>
  <si>
    <t>Value in Message Category SW (S6 Premium Override Reasons)</t>
  </si>
  <si>
    <t>For group rated product only. Must match PM product benefit rating factor 1.</t>
  </si>
  <si>
    <t>For group rated product only. Must match PM product benefit rating factor 2.</t>
  </si>
  <si>
    <t>For group rated product only. Must match PM product benefit rating factor 3.</t>
  </si>
  <si>
    <t>For group rated product only. Must match PM product benefit rating factor 4.</t>
  </si>
  <si>
    <t>For group rated product only. Must match PM product benefit rating factor 5.</t>
  </si>
  <si>
    <t>For group rated product only. Must match PM product benefit rating factor 6.</t>
  </si>
  <si>
    <t>For group rated product only. Must match PM product benefit rating factor 7.</t>
  </si>
  <si>
    <t>For group rated product only. Must match PM product benefit rating factor 8.</t>
  </si>
  <si>
    <t>PRODUCT_REMOVE</t>
  </si>
  <si>
    <t>Must be 'PRODUCT_REMOVE'</t>
  </si>
  <si>
    <t>PROSREF</t>
  </si>
  <si>
    <t>Must be 'PROSREF'</t>
  </si>
  <si>
    <t>Prospect Reference</t>
  </si>
  <si>
    <t>Policy ID</t>
  </si>
  <si>
    <t>PURGE</t>
  </si>
  <si>
    <t>Must be 'PURGE'</t>
  </si>
  <si>
    <t>Corresponds to account id that we're deleting.</t>
  </si>
  <si>
    <t>SENSITIVITY</t>
  </si>
  <si>
    <t>Must be 'SENSITIVITY'</t>
  </si>
  <si>
    <t>Sensitivity Code</t>
  </si>
  <si>
    <t>Value in Message Category 42 (Sensitivity Code)</t>
  </si>
  <si>
    <t>SUPPRESS</t>
  </si>
  <si>
    <t>Must be 'SUPPRESS'</t>
  </si>
  <si>
    <t>Effective Date</t>
  </si>
  <si>
    <t>Reason</t>
  </si>
  <si>
    <t>Value in Message Category 37 (Suppression Code)</t>
  </si>
  <si>
    <t>TRANACT</t>
  </si>
  <si>
    <t>Must be 'TRANACT'</t>
  </si>
  <si>
    <t>Seller ID</t>
  </si>
  <si>
    <t>oper_code from IC2_OPERATOR table.</t>
  </si>
  <si>
    <t>TRANADD</t>
  </si>
  <si>
    <t>Must be 'TRANADD'</t>
  </si>
  <si>
    <t>Campaign ID</t>
  </si>
  <si>
    <t>Suspension Reason 1</t>
  </si>
  <si>
    <t>Value in Message Category SS (S6 Policy Suspend Reasons)</t>
  </si>
  <si>
    <t>Suspension Reason 2</t>
  </si>
  <si>
    <t>Suspension Reason 3</t>
  </si>
  <si>
    <t>TRANADJ</t>
  </si>
  <si>
    <t>Must be 'TRANADJ'</t>
  </si>
  <si>
    <t>Product or Package ID</t>
  </si>
  <si>
    <t>Amount</t>
  </si>
  <si>
    <t>Negative values are credits.</t>
  </si>
  <si>
    <t>Reason Code</t>
  </si>
  <si>
    <t>Value in Message Category SA (S6 Adjustment Reasons)</t>
  </si>
  <si>
    <t>TRANCAN</t>
  </si>
  <si>
    <t>Must be 'TRANCAN'</t>
  </si>
  <si>
    <t>Product or Package To Cancel</t>
  </si>
  <si>
    <t>Value in Message Category SC (S6 Cancellation Reasons)</t>
  </si>
  <si>
    <t>TRANCAR</t>
  </si>
  <si>
    <t>Must be 'TRANCAR'</t>
  </si>
  <si>
    <t>Refund Amount</t>
  </si>
  <si>
    <t>A value of zero (0.0) will automatically determined appropriate refund amount.  (allows values &gt;= 0.0 only)</t>
  </si>
  <si>
    <t>TRANCPN</t>
  </si>
  <si>
    <t>Must be 'TRANCPN'</t>
  </si>
  <si>
    <t>TRANCPR</t>
  </si>
  <si>
    <t>Must be 'TRANCPR'</t>
  </si>
  <si>
    <t>TRANEND</t>
  </si>
  <si>
    <t>Must be 'TRANEND'</t>
  </si>
  <si>
    <t>TRANIDN</t>
  </si>
  <si>
    <t>Must be 'TRANIDN'</t>
  </si>
  <si>
    <t>Primary Account ID</t>
  </si>
  <si>
    <t>TRANNEW</t>
  </si>
  <si>
    <t>Must be 'TRANNEW'</t>
  </si>
  <si>
    <t>Application Date</t>
  </si>
  <si>
    <t>TRANPND</t>
  </si>
  <si>
    <t>Must be 'TRANPND'</t>
  </si>
  <si>
    <t>TRANPNR</t>
  </si>
  <si>
    <t>Must be 'TRANPNR'</t>
  </si>
  <si>
    <t>Must match a suspension already recorded for policy.</t>
  </si>
  <si>
    <t>Can only be used with PND code '99' in Message Category SS</t>
  </si>
  <si>
    <t>Billed Thru Date</t>
  </si>
  <si>
    <t>Same rule as trn_effdt above. This date cannot be later than 1 month of effective date.</t>
  </si>
  <si>
    <t>Application Number</t>
  </si>
  <si>
    <t>TRANRER</t>
  </si>
  <si>
    <t>Must be 'TRANRER'</t>
  </si>
  <si>
    <t>TRANSACTION</t>
  </si>
  <si>
    <t>Must be 'TRANSACTION'</t>
  </si>
  <si>
    <t>Account ID for Session</t>
  </si>
  <si>
    <t>string  2</t>
  </si>
  <si>
    <t>Endorsement Transaction Reason</t>
  </si>
  <si>
    <t>Value in Message Category SB (S6 Endorsement Reasons)</t>
  </si>
  <si>
    <t>TRANUPC</t>
  </si>
  <si>
    <t>Must be 'TRANUPC'</t>
  </si>
  <si>
    <t>This is the ID of the product/package being upgraded.</t>
  </si>
  <si>
    <t>Beneficiary</t>
  </si>
  <si>
    <t>There is nothing to write here.</t>
  </si>
  <si>
    <t>No info</t>
  </si>
  <si>
    <t>No info for 2</t>
  </si>
  <si>
    <t>3 No Info</t>
  </si>
  <si>
    <t>Nil</t>
  </si>
  <si>
    <t>All info no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</si>
</sst>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14" fontId="0" fillId="0" borderId="1" xfId="0" quotePrefix="1" applyNumberForma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1" fillId="0" borderId="8" xfId="1" applyNumberFormat="1" applyBorder="1"/>
    <xf numFmtId="0" fontId="0" fillId="0" borderId="2" xfId="0" applyBorder="1"/>
    <xf numFmtId="49" fontId="0" fillId="0" borderId="4" xfId="0" applyNumberFormat="1" applyBorder="1"/>
    <xf numFmtId="49" fontId="0" fillId="0" borderId="6" xfId="0" applyNumberFormat="1" applyBorder="1"/>
    <xf numFmtId="0" fontId="0" fillId="0" borderId="7" xfId="0" applyBorder="1"/>
    <xf numFmtId="49" fontId="1" fillId="0" borderId="6" xfId="1" applyNumberFormat="1" applyBorder="1"/>
    <xf numFmtId="0" fontId="0" fillId="0" borderId="0" xfId="0" applyFill="1" applyBorder="1"/>
    <xf numFmtId="0" fontId="0" fillId="0" borderId="10" xfId="0" applyBorder="1"/>
    <xf numFmtId="0" fontId="0" fillId="0" borderId="11" xfId="0" applyFill="1" applyBorder="1"/>
    <xf numFmtId="49" fontId="0" fillId="0" borderId="12" xfId="0" applyNumberFormat="1" applyBorder="1"/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49" fontId="0" fillId="0" borderId="2" xfId="0" applyNumberForma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  <xf numFmtId="49" fontId="0" fillId="0" borderId="13" xfId="0" applyNumberFormat="1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1" xfId="0" quotePrefix="1" applyNumberFormat="1" applyBorder="1"/>
    <xf numFmtId="0" fontId="0" fillId="0" borderId="5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botl_segmen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oemail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noemail@hot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3"/>
  <sheetViews>
    <sheetView tabSelected="1" topLeftCell="V1" workbookViewId="0">
      <selection activeCell="AA3" sqref="AA3"/>
    </sheetView>
  </sheetViews>
  <sheetFormatPr defaultRowHeight="15" x14ac:dyDescent="0.25"/>
  <cols>
    <col min="1" max="1" width="18.85546875" bestFit="1" customWidth="1"/>
    <col min="2" max="4" width="13.85546875" bestFit="1" customWidth="1"/>
    <col min="5" max="5" width="11.42578125" bestFit="1" customWidth="1"/>
    <col min="6" max="6" width="9.85546875" bestFit="1" customWidth="1"/>
    <col min="7" max="7" width="13.85546875" bestFit="1" customWidth="1"/>
    <col min="8" max="8" width="13.140625" bestFit="1" customWidth="1"/>
    <col min="9" max="9" width="14.5703125" bestFit="1" customWidth="1"/>
    <col min="10" max="10" width="9" bestFit="1" customWidth="1"/>
    <col min="11" max="11" width="14.85546875" bestFit="1" customWidth="1"/>
    <col min="12" max="12" width="10.5703125" bestFit="1" customWidth="1"/>
    <col min="13" max="13" width="10.140625" bestFit="1" customWidth="1"/>
    <col min="14" max="14" width="10.5703125" bestFit="1" customWidth="1"/>
    <col min="15" max="15" width="13.140625" bestFit="1" customWidth="1"/>
    <col min="16" max="16" width="9.85546875" bestFit="1" customWidth="1"/>
    <col min="17" max="17" width="12.85546875" bestFit="1" customWidth="1"/>
    <col min="18" max="18" width="5" bestFit="1" customWidth="1"/>
    <col min="19" max="19" width="14" bestFit="1" customWidth="1"/>
    <col min="20" max="20" width="11" bestFit="1" customWidth="1"/>
    <col min="21" max="21" width="20.7109375" bestFit="1" customWidth="1"/>
    <col min="22" max="22" width="10.7109375" bestFit="1" customWidth="1"/>
    <col min="24" max="24" width="21.7109375" bestFit="1" customWidth="1"/>
    <col min="25" max="25" width="16.28515625" bestFit="1" customWidth="1"/>
    <col min="26" max="26" width="17" bestFit="1" customWidth="1"/>
    <col min="27" max="27" width="28.42578125" bestFit="1" customWidth="1"/>
    <col min="28" max="32" width="15.85546875" bestFit="1" customWidth="1"/>
  </cols>
  <sheetData>
    <row r="1" spans="1:33" x14ac:dyDescent="0.25">
      <c r="A1" s="36" t="s">
        <v>18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8"/>
      <c r="M1" s="36" t="s">
        <v>32</v>
      </c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16" t="s">
        <v>46</v>
      </c>
      <c r="AA1" s="36" t="s">
        <v>422</v>
      </c>
      <c r="AB1" s="37"/>
      <c r="AC1" s="37"/>
      <c r="AD1" s="37"/>
      <c r="AE1" s="37"/>
      <c r="AF1" s="37"/>
      <c r="AG1" s="38"/>
    </row>
    <row r="2" spans="1:33" x14ac:dyDescent="0.25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5" t="s">
        <v>11</v>
      </c>
      <c r="M2" s="3" t="s">
        <v>19</v>
      </c>
      <c r="N2" s="4" t="s">
        <v>20</v>
      </c>
      <c r="O2" s="4" t="s">
        <v>21</v>
      </c>
      <c r="P2" s="4" t="s">
        <v>22</v>
      </c>
      <c r="Q2" s="4" t="s">
        <v>23</v>
      </c>
      <c r="R2" s="4" t="s">
        <v>24</v>
      </c>
      <c r="S2" s="4" t="s">
        <v>25</v>
      </c>
      <c r="T2" s="4" t="s">
        <v>26</v>
      </c>
      <c r="U2" s="4" t="s">
        <v>27</v>
      </c>
      <c r="V2" s="4" t="s">
        <v>28</v>
      </c>
      <c r="W2" s="4" t="s">
        <v>29</v>
      </c>
      <c r="X2" s="4" t="s">
        <v>30</v>
      </c>
      <c r="Y2" s="5" t="s">
        <v>31</v>
      </c>
      <c r="Z2" s="17" t="s">
        <v>45</v>
      </c>
      <c r="AA2" s="40" t="s">
        <v>106</v>
      </c>
      <c r="AB2" s="15" t="s">
        <v>108</v>
      </c>
      <c r="AC2" s="15" t="s">
        <v>110</v>
      </c>
      <c r="AD2" s="15" t="s">
        <v>111</v>
      </c>
      <c r="AE2" s="15" t="s">
        <v>112</v>
      </c>
      <c r="AF2" s="15" t="s">
        <v>113</v>
      </c>
      <c r="AG2" s="5"/>
    </row>
    <row r="3" spans="1:33" s="1" customFormat="1" x14ac:dyDescent="0.25">
      <c r="A3" s="6" t="s">
        <v>12</v>
      </c>
      <c r="B3" s="7" t="s">
        <v>13</v>
      </c>
      <c r="C3" s="7"/>
      <c r="D3" s="7"/>
      <c r="E3" s="7">
        <v>298090</v>
      </c>
      <c r="F3" s="7" t="s">
        <v>14</v>
      </c>
      <c r="G3" s="7"/>
      <c r="H3" s="7" t="s">
        <v>15</v>
      </c>
      <c r="I3" s="7">
        <v>63986000</v>
      </c>
      <c r="J3" s="7">
        <v>62981055</v>
      </c>
      <c r="K3" s="7" t="s">
        <v>16</v>
      </c>
      <c r="L3" s="8" t="s">
        <v>17</v>
      </c>
      <c r="M3" s="6" t="s">
        <v>33</v>
      </c>
      <c r="N3" s="7" t="s">
        <v>34</v>
      </c>
      <c r="O3" s="7" t="s">
        <v>35</v>
      </c>
      <c r="P3" s="7" t="s">
        <v>36</v>
      </c>
      <c r="Q3" s="7" t="s">
        <v>37</v>
      </c>
      <c r="R3" s="7" t="s">
        <v>38</v>
      </c>
      <c r="S3" s="7" t="s">
        <v>38</v>
      </c>
      <c r="T3" s="7" t="s">
        <v>39</v>
      </c>
      <c r="U3" s="7" t="s">
        <v>40</v>
      </c>
      <c r="V3" s="39" t="s">
        <v>41</v>
      </c>
      <c r="W3" s="7" t="s">
        <v>38</v>
      </c>
      <c r="X3" s="9" t="s">
        <v>42</v>
      </c>
      <c r="Y3" s="8" t="s">
        <v>43</v>
      </c>
      <c r="Z3" s="18" t="s">
        <v>47</v>
      </c>
      <c r="AA3" s="6" t="s">
        <v>423</v>
      </c>
      <c r="AB3" s="7" t="s">
        <v>424</v>
      </c>
      <c r="AC3" s="7" t="s">
        <v>425</v>
      </c>
      <c r="AD3" s="7" t="s">
        <v>426</v>
      </c>
      <c r="AE3" s="7" t="s">
        <v>427</v>
      </c>
      <c r="AF3" s="7" t="s">
        <v>428</v>
      </c>
      <c r="AG3" s="8"/>
    </row>
  </sheetData>
  <mergeCells count="3">
    <mergeCell ref="A1:L1"/>
    <mergeCell ref="M1:Y1"/>
    <mergeCell ref="AA1:AG1"/>
  </mergeCells>
  <hyperlinks>
    <hyperlink ref="X3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27" sqref="E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6"/>
  <sheetViews>
    <sheetView topLeftCell="A16" workbookViewId="0">
      <selection activeCell="B36" sqref="B36"/>
    </sheetView>
  </sheetViews>
  <sheetFormatPr defaultRowHeight="15" x14ac:dyDescent="0.25"/>
  <cols>
    <col min="1" max="1" width="20.7109375" bestFit="1" customWidth="1"/>
    <col min="2" max="2" width="28.42578125" bestFit="1" customWidth="1"/>
  </cols>
  <sheetData>
    <row r="1" spans="1:2" x14ac:dyDescent="0.25">
      <c r="A1" s="10" t="s">
        <v>0</v>
      </c>
      <c r="B1" s="11" t="s">
        <v>12</v>
      </c>
    </row>
    <row r="2" spans="1:2" x14ac:dyDescent="0.25">
      <c r="A2" s="3" t="s">
        <v>1</v>
      </c>
      <c r="B2" s="12" t="s">
        <v>13</v>
      </c>
    </row>
    <row r="3" spans="1:2" x14ac:dyDescent="0.25">
      <c r="A3" s="3" t="s">
        <v>2</v>
      </c>
      <c r="B3" s="12"/>
    </row>
    <row r="4" spans="1:2" x14ac:dyDescent="0.25">
      <c r="A4" s="3" t="s">
        <v>3</v>
      </c>
      <c r="B4" s="12"/>
    </row>
    <row r="5" spans="1:2" x14ac:dyDescent="0.25">
      <c r="A5" s="3" t="s">
        <v>4</v>
      </c>
      <c r="B5" s="12">
        <v>298090</v>
      </c>
    </row>
    <row r="6" spans="1:2" x14ac:dyDescent="0.25">
      <c r="A6" s="3" t="s">
        <v>5</v>
      </c>
      <c r="B6" s="12" t="s">
        <v>14</v>
      </c>
    </row>
    <row r="7" spans="1:2" x14ac:dyDescent="0.25">
      <c r="A7" s="3" t="s">
        <v>6</v>
      </c>
      <c r="B7" s="12"/>
    </row>
    <row r="8" spans="1:2" x14ac:dyDescent="0.25">
      <c r="A8" s="3" t="s">
        <v>7</v>
      </c>
      <c r="B8" s="12" t="s">
        <v>15</v>
      </c>
    </row>
    <row r="9" spans="1:2" x14ac:dyDescent="0.25">
      <c r="A9" s="3" t="s">
        <v>8</v>
      </c>
      <c r="B9" s="12">
        <v>63986000</v>
      </c>
    </row>
    <row r="10" spans="1:2" x14ac:dyDescent="0.25">
      <c r="A10" s="3" t="s">
        <v>9</v>
      </c>
      <c r="B10" s="12">
        <v>62981055</v>
      </c>
    </row>
    <row r="11" spans="1:2" x14ac:dyDescent="0.25">
      <c r="A11" s="3" t="s">
        <v>10</v>
      </c>
      <c r="B11" s="12" t="s">
        <v>16</v>
      </c>
    </row>
    <row r="12" spans="1:2" x14ac:dyDescent="0.25">
      <c r="A12" s="13" t="s">
        <v>11</v>
      </c>
      <c r="B12" s="8" t="s">
        <v>17</v>
      </c>
    </row>
    <row r="14" spans="1:2" x14ac:dyDescent="0.25">
      <c r="A14" s="10" t="s">
        <v>19</v>
      </c>
      <c r="B14" s="11" t="s">
        <v>33</v>
      </c>
    </row>
    <row r="15" spans="1:2" x14ac:dyDescent="0.25">
      <c r="A15" s="3" t="s">
        <v>20</v>
      </c>
      <c r="B15" s="12" t="s">
        <v>34</v>
      </c>
    </row>
    <row r="16" spans="1:2" x14ac:dyDescent="0.25">
      <c r="A16" s="3" t="s">
        <v>21</v>
      </c>
      <c r="B16" s="12" t="s">
        <v>35</v>
      </c>
    </row>
    <row r="17" spans="1:2" x14ac:dyDescent="0.25">
      <c r="A17" s="3" t="s">
        <v>22</v>
      </c>
      <c r="B17" s="12" t="s">
        <v>36</v>
      </c>
    </row>
    <row r="18" spans="1:2" x14ac:dyDescent="0.25">
      <c r="A18" s="3" t="s">
        <v>23</v>
      </c>
      <c r="B18" s="12" t="s">
        <v>37</v>
      </c>
    </row>
    <row r="19" spans="1:2" x14ac:dyDescent="0.25">
      <c r="A19" s="3" t="s">
        <v>24</v>
      </c>
      <c r="B19" s="12" t="s">
        <v>38</v>
      </c>
    </row>
    <row r="20" spans="1:2" x14ac:dyDescent="0.25">
      <c r="A20" s="3" t="s">
        <v>25</v>
      </c>
      <c r="B20" s="12" t="s">
        <v>38</v>
      </c>
    </row>
    <row r="21" spans="1:2" x14ac:dyDescent="0.25">
      <c r="A21" s="3" t="s">
        <v>26</v>
      </c>
      <c r="B21" s="12" t="s">
        <v>39</v>
      </c>
    </row>
    <row r="22" spans="1:2" x14ac:dyDescent="0.25">
      <c r="A22" s="3" t="s">
        <v>27</v>
      </c>
      <c r="B22" s="12" t="s">
        <v>40</v>
      </c>
    </row>
    <row r="23" spans="1:2" x14ac:dyDescent="0.25">
      <c r="A23" s="3" t="s">
        <v>28</v>
      </c>
      <c r="B23" s="2" t="s">
        <v>41</v>
      </c>
    </row>
    <row r="24" spans="1:2" x14ac:dyDescent="0.25">
      <c r="A24" s="3" t="s">
        <v>29</v>
      </c>
      <c r="B24" s="12" t="s">
        <v>38</v>
      </c>
    </row>
    <row r="25" spans="1:2" x14ac:dyDescent="0.25">
      <c r="A25" s="3" t="s">
        <v>30</v>
      </c>
      <c r="B25" s="14" t="s">
        <v>42</v>
      </c>
    </row>
    <row r="26" spans="1:2" x14ac:dyDescent="0.25">
      <c r="A26" s="13" t="s">
        <v>31</v>
      </c>
      <c r="B26" s="8" t="s">
        <v>43</v>
      </c>
    </row>
    <row r="28" spans="1:2" x14ac:dyDescent="0.25">
      <c r="A28" s="17" t="s">
        <v>45</v>
      </c>
      <c r="B28" s="18" t="s">
        <v>47</v>
      </c>
    </row>
    <row r="29" spans="1:2" x14ac:dyDescent="0.25">
      <c r="A29" s="4" t="s">
        <v>7</v>
      </c>
      <c r="B29" s="7" t="s">
        <v>15</v>
      </c>
    </row>
    <row r="31" spans="1:2" x14ac:dyDescent="0.25">
      <c r="A31" s="15" t="s">
        <v>106</v>
      </c>
      <c r="B31" s="1" t="s">
        <v>423</v>
      </c>
    </row>
    <row r="32" spans="1:2" x14ac:dyDescent="0.25">
      <c r="A32" s="15" t="s">
        <v>108</v>
      </c>
      <c r="B32" s="1" t="s">
        <v>424</v>
      </c>
    </row>
    <row r="33" spans="1:2" x14ac:dyDescent="0.25">
      <c r="A33" s="15" t="s">
        <v>110</v>
      </c>
      <c r="B33" s="1" t="s">
        <v>425</v>
      </c>
    </row>
    <row r="34" spans="1:2" x14ac:dyDescent="0.25">
      <c r="A34" s="15" t="s">
        <v>111</v>
      </c>
      <c r="B34" s="1" t="s">
        <v>426</v>
      </c>
    </row>
    <row r="35" spans="1:2" x14ac:dyDescent="0.25">
      <c r="A35" s="15" t="s">
        <v>112</v>
      </c>
      <c r="B35" s="1" t="s">
        <v>427</v>
      </c>
    </row>
    <row r="36" spans="1:2" x14ac:dyDescent="0.25">
      <c r="A36" s="15" t="s">
        <v>113</v>
      </c>
      <c r="B36" s="1" t="s">
        <v>428</v>
      </c>
    </row>
  </sheetData>
  <hyperlinks>
    <hyperlink ref="B25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51"/>
  <sheetViews>
    <sheetView topLeftCell="A46" zoomScaleNormal="100" workbookViewId="0">
      <selection activeCell="F49" sqref="F49"/>
    </sheetView>
  </sheetViews>
  <sheetFormatPr defaultRowHeight="15" x14ac:dyDescent="0.25"/>
  <cols>
    <col min="1" max="1" width="18.28515625" style="25" bestFit="1" customWidth="1"/>
    <col min="2" max="2" width="3" style="25" bestFit="1" customWidth="1"/>
    <col min="3" max="3" width="31" style="25" bestFit="1" customWidth="1"/>
    <col min="4" max="4" width="7.85546875" style="25" bestFit="1" customWidth="1"/>
    <col min="5" max="5" width="4.7109375" style="25" customWidth="1"/>
    <col min="6" max="6" width="82.140625" style="35" bestFit="1" customWidth="1"/>
    <col min="7" max="16384" width="9.140625" style="25"/>
  </cols>
  <sheetData>
    <row r="1" spans="1:7" s="20" customFormat="1" ht="33" customHeight="1" x14ac:dyDescent="0.25">
      <c r="A1" s="19" t="s">
        <v>48</v>
      </c>
      <c r="B1" s="20" t="s">
        <v>49</v>
      </c>
      <c r="C1" s="20" t="s">
        <v>50</v>
      </c>
      <c r="D1" s="20" t="s">
        <v>51</v>
      </c>
      <c r="E1" s="21" t="s">
        <v>52</v>
      </c>
      <c r="F1" s="21" t="s">
        <v>53</v>
      </c>
    </row>
    <row r="2" spans="1:7" x14ac:dyDescent="0.25">
      <c r="A2" s="22" t="s">
        <v>54</v>
      </c>
      <c r="B2" s="23">
        <v>1</v>
      </c>
      <c r="C2" s="23" t="s">
        <v>48</v>
      </c>
      <c r="D2" s="23" t="s">
        <v>55</v>
      </c>
      <c r="E2" s="23">
        <v>25</v>
      </c>
      <c r="F2" s="24" t="s">
        <v>56</v>
      </c>
      <c r="G2" s="25" t="str">
        <f>CONCATENATE("Dim p",C2," As ",D2," * ",E2,"'",F2)</f>
        <v>Dim pTag As string * 25'Must be 'ADDRESS'</v>
      </c>
    </row>
    <row r="3" spans="1:7" x14ac:dyDescent="0.25">
      <c r="A3" s="26"/>
      <c r="B3" s="27">
        <v>2</v>
      </c>
      <c r="C3" s="27" t="s">
        <v>57</v>
      </c>
      <c r="D3" s="27" t="s">
        <v>55</v>
      </c>
      <c r="E3" s="27">
        <v>6</v>
      </c>
      <c r="F3" s="28" t="s">
        <v>58</v>
      </c>
      <c r="G3" s="25" t="str">
        <f t="shared" ref="G3:G66" si="0">CONCATENATE("Dim p",C3," As ",D3," * ",E3,"'",F3)</f>
        <v>Dim pNew or Update As string * 6'Must be 'new' or 'update'</v>
      </c>
    </row>
    <row r="4" spans="1:7" x14ac:dyDescent="0.25">
      <c r="A4" s="26"/>
      <c r="B4" s="27">
        <v>3</v>
      </c>
      <c r="C4" s="27" t="s">
        <v>59</v>
      </c>
      <c r="D4" s="27" t="s">
        <v>60</v>
      </c>
      <c r="E4" s="27">
        <v>10</v>
      </c>
      <c r="F4" s="28" t="s">
        <v>61</v>
      </c>
      <c r="G4" s="25" t="str">
        <f t="shared" si="0"/>
        <v>Dim pAddress Id As integer * 10'For 'new', value is system generated value so provide macro name, e.g. $_addr1.</v>
      </c>
    </row>
    <row r="5" spans="1:7" x14ac:dyDescent="0.25">
      <c r="A5" s="26"/>
      <c r="B5" s="27">
        <v>4</v>
      </c>
      <c r="C5" s="27" t="s">
        <v>0</v>
      </c>
      <c r="D5" s="27" t="s">
        <v>55</v>
      </c>
      <c r="E5" s="27">
        <v>30</v>
      </c>
      <c r="F5" s="28"/>
      <c r="G5" s="25" t="str">
        <f t="shared" si="0"/>
        <v>Dim pAddress Line 1 As string * 30'</v>
      </c>
    </row>
    <row r="6" spans="1:7" x14ac:dyDescent="0.25">
      <c r="A6" s="26"/>
      <c r="B6" s="27">
        <v>5</v>
      </c>
      <c r="C6" s="27" t="s">
        <v>1</v>
      </c>
      <c r="D6" s="27" t="s">
        <v>55</v>
      </c>
      <c r="E6" s="27">
        <v>30</v>
      </c>
      <c r="F6" s="28"/>
      <c r="G6" s="25" t="str">
        <f t="shared" si="0"/>
        <v>Dim pAddress Line 2 As string * 30'</v>
      </c>
    </row>
    <row r="7" spans="1:7" x14ac:dyDescent="0.25">
      <c r="A7" s="26"/>
      <c r="B7" s="27">
        <v>6</v>
      </c>
      <c r="C7" s="27" t="s">
        <v>2</v>
      </c>
      <c r="D7" s="27" t="s">
        <v>55</v>
      </c>
      <c r="E7" s="27">
        <v>30</v>
      </c>
      <c r="F7" s="28"/>
      <c r="G7" s="25" t="str">
        <f t="shared" si="0"/>
        <v>Dim pAddress Line 3 As string * 30'</v>
      </c>
    </row>
    <row r="8" spans="1:7" x14ac:dyDescent="0.25">
      <c r="A8" s="26"/>
      <c r="B8" s="27">
        <v>7</v>
      </c>
      <c r="C8" s="27" t="s">
        <v>3</v>
      </c>
      <c r="D8" s="27" t="s">
        <v>55</v>
      </c>
      <c r="E8" s="27">
        <v>30</v>
      </c>
      <c r="F8" s="28"/>
      <c r="G8" s="25" t="str">
        <f t="shared" si="0"/>
        <v>Dim pAddress Line 4 As string * 30'</v>
      </c>
    </row>
    <row r="9" spans="1:7" x14ac:dyDescent="0.25">
      <c r="A9" s="26"/>
      <c r="B9" s="27">
        <v>8</v>
      </c>
      <c r="C9" s="27" t="s">
        <v>4</v>
      </c>
      <c r="D9" s="27" t="s">
        <v>55</v>
      </c>
      <c r="E9" s="27">
        <v>10</v>
      </c>
      <c r="F9" s="28"/>
      <c r="G9" s="25" t="str">
        <f t="shared" si="0"/>
        <v>Dim pPostal Code As string * 10'</v>
      </c>
    </row>
    <row r="10" spans="1:7" x14ac:dyDescent="0.25">
      <c r="A10" s="26"/>
      <c r="B10" s="27">
        <v>9</v>
      </c>
      <c r="C10" s="27" t="s">
        <v>5</v>
      </c>
      <c r="D10" s="27" t="s">
        <v>55</v>
      </c>
      <c r="E10" s="27">
        <v>30</v>
      </c>
      <c r="F10" s="28"/>
      <c r="G10" s="25" t="str">
        <f t="shared" si="0"/>
        <v>Dim pCity As string * 30'</v>
      </c>
    </row>
    <row r="11" spans="1:7" x14ac:dyDescent="0.25">
      <c r="A11" s="26"/>
      <c r="B11" s="27">
        <v>10</v>
      </c>
      <c r="C11" s="27" t="s">
        <v>62</v>
      </c>
      <c r="D11" s="27" t="s">
        <v>55</v>
      </c>
      <c r="E11" s="27">
        <v>2</v>
      </c>
      <c r="F11" s="28" t="s">
        <v>63</v>
      </c>
      <c r="G11" s="25" t="str">
        <f t="shared" si="0"/>
        <v>Dim pProvince or State Code As string * 2'Value in Message Category 36 (Provinces)</v>
      </c>
    </row>
    <row r="12" spans="1:7" x14ac:dyDescent="0.25">
      <c r="A12" s="26"/>
      <c r="B12" s="27">
        <v>11</v>
      </c>
      <c r="C12" s="27" t="s">
        <v>7</v>
      </c>
      <c r="D12" s="27" t="s">
        <v>55</v>
      </c>
      <c r="E12" s="27">
        <v>2</v>
      </c>
      <c r="F12" s="28" t="s">
        <v>64</v>
      </c>
      <c r="G12" s="25" t="str">
        <f t="shared" si="0"/>
        <v>Dim pCountry Code As string * 2'Value in Message Category 27 (Country)</v>
      </c>
    </row>
    <row r="13" spans="1:7" x14ac:dyDescent="0.25">
      <c r="A13" s="26"/>
      <c r="B13" s="27">
        <v>12</v>
      </c>
      <c r="C13" s="27" t="s">
        <v>8</v>
      </c>
      <c r="D13" s="27" t="s">
        <v>55</v>
      </c>
      <c r="E13" s="27">
        <v>20</v>
      </c>
      <c r="F13" s="28"/>
      <c r="G13" s="25" t="str">
        <f t="shared" si="0"/>
        <v>Dim pPhone Number As string * 20'</v>
      </c>
    </row>
    <row r="14" spans="1:7" x14ac:dyDescent="0.25">
      <c r="A14" s="26"/>
      <c r="B14" s="27">
        <v>13</v>
      </c>
      <c r="C14" s="27" t="s">
        <v>65</v>
      </c>
      <c r="D14" s="27" t="s">
        <v>55</v>
      </c>
      <c r="E14" s="27">
        <v>20</v>
      </c>
      <c r="F14" s="28"/>
      <c r="G14" s="25" t="str">
        <f t="shared" si="0"/>
        <v>Dim pFAX Number As string * 20'</v>
      </c>
    </row>
    <row r="15" spans="1:7" x14ac:dyDescent="0.25">
      <c r="A15" s="26"/>
      <c r="B15" s="27">
        <v>14</v>
      </c>
      <c r="C15" s="27" t="s">
        <v>66</v>
      </c>
      <c r="D15" s="27" t="s">
        <v>55</v>
      </c>
      <c r="E15" s="27">
        <v>5</v>
      </c>
      <c r="F15" s="28" t="s">
        <v>67</v>
      </c>
      <c r="G15" s="25" t="str">
        <f t="shared" si="0"/>
        <v>Dim pCompany Code As string * 5'If present, must match entry in IC2_COMPANY_ADDR table.</v>
      </c>
    </row>
    <row r="16" spans="1:7" x14ac:dyDescent="0.25">
      <c r="A16" s="29"/>
      <c r="B16" s="30">
        <v>15</v>
      </c>
      <c r="C16" s="30" t="s">
        <v>68</v>
      </c>
      <c r="D16" s="30" t="s">
        <v>55</v>
      </c>
      <c r="E16" s="30">
        <v>20</v>
      </c>
      <c r="F16" s="31"/>
      <c r="G16" s="25" t="str">
        <f t="shared" si="0"/>
        <v>Dim pCell phone As string * 20'</v>
      </c>
    </row>
    <row r="18" spans="1:7" x14ac:dyDescent="0.25">
      <c r="A18" s="22" t="s">
        <v>69</v>
      </c>
      <c r="B18" s="23">
        <v>1</v>
      </c>
      <c r="C18" s="23" t="s">
        <v>48</v>
      </c>
      <c r="D18" s="23" t="s">
        <v>55</v>
      </c>
      <c r="E18" s="23">
        <v>25</v>
      </c>
      <c r="F18" s="24" t="s">
        <v>70</v>
      </c>
      <c r="G18" s="25" t="str">
        <f t="shared" si="0"/>
        <v>Dim pTag As string * 25'Must be 'ADDRTYPE'</v>
      </c>
    </row>
    <row r="19" spans="1:7" x14ac:dyDescent="0.25">
      <c r="A19" s="26"/>
      <c r="B19" s="27">
        <v>2</v>
      </c>
      <c r="C19" s="27" t="s">
        <v>71</v>
      </c>
      <c r="D19" s="27" t="s">
        <v>55</v>
      </c>
      <c r="E19" s="27">
        <v>9</v>
      </c>
      <c r="F19" s="28" t="s">
        <v>72</v>
      </c>
      <c r="G19" s="25" t="str">
        <f t="shared" si="0"/>
        <v>Dim pAccount ID As string * 9'If new account ID, use account ID from basdemo segment to identify the customer.</v>
      </c>
    </row>
    <row r="20" spans="1:7" x14ac:dyDescent="0.25">
      <c r="A20" s="26"/>
      <c r="B20" s="27">
        <v>3</v>
      </c>
      <c r="C20" s="27" t="s">
        <v>73</v>
      </c>
      <c r="D20" s="27" t="s">
        <v>60</v>
      </c>
      <c r="E20" s="27">
        <v>10</v>
      </c>
      <c r="F20" s="28" t="s">
        <v>74</v>
      </c>
      <c r="G20" s="25" t="str">
        <f t="shared" si="0"/>
        <v>Dim pAddress ID As integer * 10'If new address use a macro to identify the address id, e.g. $_addr</v>
      </c>
    </row>
    <row r="21" spans="1:7" x14ac:dyDescent="0.25">
      <c r="A21" s="29"/>
      <c r="B21" s="30">
        <v>4</v>
      </c>
      <c r="C21" s="30" t="s">
        <v>75</v>
      </c>
      <c r="D21" s="30" t="s">
        <v>55</v>
      </c>
      <c r="E21" s="30">
        <v>2</v>
      </c>
      <c r="F21" s="31" t="s">
        <v>76</v>
      </c>
      <c r="G21" s="25" t="str">
        <f t="shared" si="0"/>
        <v>Dim pAddress Type Code As string * 2'Value in Message Category 39 (Address Types)</v>
      </c>
    </row>
    <row r="23" spans="1:7" x14ac:dyDescent="0.25">
      <c r="A23" s="22" t="s">
        <v>77</v>
      </c>
      <c r="B23" s="23">
        <v>1</v>
      </c>
      <c r="C23" s="23" t="s">
        <v>48</v>
      </c>
      <c r="D23" s="23" t="s">
        <v>55</v>
      </c>
      <c r="E23" s="23">
        <v>25</v>
      </c>
      <c r="F23" s="24" t="s">
        <v>78</v>
      </c>
      <c r="G23" s="25" t="str">
        <f t="shared" si="0"/>
        <v>Dim pTag As string * 25'Must be 'BASDEMO'</v>
      </c>
    </row>
    <row r="24" spans="1:7" x14ac:dyDescent="0.25">
      <c r="A24" s="26"/>
      <c r="B24" s="27">
        <v>2</v>
      </c>
      <c r="C24" s="27" t="s">
        <v>57</v>
      </c>
      <c r="D24" s="27" t="s">
        <v>55</v>
      </c>
      <c r="E24" s="27">
        <v>6</v>
      </c>
      <c r="F24" s="28" t="s">
        <v>58</v>
      </c>
      <c r="G24" s="25" t="str">
        <f t="shared" si="0"/>
        <v>Dim pNew or Update As string * 6'Must be 'new' or 'update'</v>
      </c>
    </row>
    <row r="25" spans="1:7" x14ac:dyDescent="0.25">
      <c r="A25" s="26"/>
      <c r="B25" s="27">
        <v>3</v>
      </c>
      <c r="C25" s="27" t="s">
        <v>71</v>
      </c>
      <c r="D25" s="27" t="s">
        <v>55</v>
      </c>
      <c r="E25" s="27">
        <v>9</v>
      </c>
      <c r="F25" s="28" t="s">
        <v>79</v>
      </c>
      <c r="G25" s="25" t="str">
        <f t="shared" si="0"/>
        <v>Dim pAccount ID As string * 9'For 'new', value is system generated value so provide macro name, e.g. $_acct1.</v>
      </c>
    </row>
    <row r="26" spans="1:7" x14ac:dyDescent="0.25">
      <c r="A26" s="26"/>
      <c r="B26" s="27">
        <v>4</v>
      </c>
      <c r="C26" s="27" t="s">
        <v>80</v>
      </c>
      <c r="D26" s="27" t="s">
        <v>55</v>
      </c>
      <c r="E26" s="27">
        <v>30</v>
      </c>
      <c r="F26" s="28"/>
      <c r="G26" s="25" t="str">
        <f t="shared" si="0"/>
        <v>Dim pLast Name (Surname) As string * 30'</v>
      </c>
    </row>
    <row r="27" spans="1:7" x14ac:dyDescent="0.25">
      <c r="A27" s="26"/>
      <c r="B27" s="27">
        <v>5</v>
      </c>
      <c r="C27" s="27" t="s">
        <v>20</v>
      </c>
      <c r="D27" s="27" t="s">
        <v>55</v>
      </c>
      <c r="E27" s="27">
        <v>30</v>
      </c>
      <c r="F27" s="28"/>
      <c r="G27" s="25" t="str">
        <f t="shared" si="0"/>
        <v>Dim pFirst Name As string * 30'</v>
      </c>
    </row>
    <row r="28" spans="1:7" x14ac:dyDescent="0.25">
      <c r="A28" s="26"/>
      <c r="B28" s="27">
        <v>6</v>
      </c>
      <c r="C28" s="27" t="s">
        <v>21</v>
      </c>
      <c r="D28" s="27" t="s">
        <v>55</v>
      </c>
      <c r="E28" s="27">
        <v>15</v>
      </c>
      <c r="F28" s="28"/>
      <c r="G28" s="25" t="str">
        <f t="shared" si="0"/>
        <v>Dim pMiddle Name As string * 15'</v>
      </c>
    </row>
    <row r="29" spans="1:7" x14ac:dyDescent="0.25">
      <c r="A29" s="26"/>
      <c r="B29" s="27">
        <v>7</v>
      </c>
      <c r="C29" s="27" t="s">
        <v>22</v>
      </c>
      <c r="D29" s="27" t="s">
        <v>55</v>
      </c>
      <c r="E29" s="27">
        <v>15</v>
      </c>
      <c r="F29" s="28"/>
      <c r="G29" s="25" t="str">
        <f t="shared" si="0"/>
        <v>Dim pNickname As string * 15'</v>
      </c>
    </row>
    <row r="30" spans="1:7" x14ac:dyDescent="0.25">
      <c r="A30" s="26"/>
      <c r="B30" s="27">
        <v>8</v>
      </c>
      <c r="C30" s="27" t="s">
        <v>23</v>
      </c>
      <c r="D30" s="27" t="s">
        <v>55</v>
      </c>
      <c r="E30" s="27">
        <v>50</v>
      </c>
      <c r="F30" s="28" t="s">
        <v>81</v>
      </c>
      <c r="G30" s="25" t="str">
        <f t="shared" si="0"/>
        <v>Dim pFormal Name As string * 50'Will be built if not provided.</v>
      </c>
    </row>
    <row r="31" spans="1:7" x14ac:dyDescent="0.25">
      <c r="A31" s="26"/>
      <c r="B31" s="27">
        <v>9</v>
      </c>
      <c r="C31" s="27" t="s">
        <v>24</v>
      </c>
      <c r="D31" s="27" t="s">
        <v>55</v>
      </c>
      <c r="E31" s="27">
        <v>2</v>
      </c>
      <c r="F31" s="28" t="s">
        <v>82</v>
      </c>
      <c r="G31" s="25" t="str">
        <f t="shared" si="0"/>
        <v>Dim pTitle As string * 2'Value in Message Category 3 (Caller Title)</v>
      </c>
    </row>
    <row r="32" spans="1:7" x14ac:dyDescent="0.25">
      <c r="A32" s="26"/>
      <c r="B32" s="27">
        <v>10</v>
      </c>
      <c r="C32" s="27" t="s">
        <v>25</v>
      </c>
      <c r="D32" s="27" t="s">
        <v>55</v>
      </c>
      <c r="E32" s="27">
        <v>2</v>
      </c>
      <c r="F32" s="28" t="s">
        <v>83</v>
      </c>
      <c r="G32" s="25" t="str">
        <f t="shared" si="0"/>
        <v>Dim pCategory Code As string * 2'Value in Message Category 21 (Customer Category)</v>
      </c>
    </row>
    <row r="33" spans="1:7" x14ac:dyDescent="0.25">
      <c r="A33" s="26"/>
      <c r="B33" s="27">
        <v>11</v>
      </c>
      <c r="C33" s="27" t="s">
        <v>84</v>
      </c>
      <c r="D33" s="27" t="s">
        <v>55</v>
      </c>
      <c r="E33" s="27">
        <v>2</v>
      </c>
      <c r="F33" s="28"/>
      <c r="G33" s="25" t="str">
        <f t="shared" si="0"/>
        <v>Dim pPersonality Code As string * 2'</v>
      </c>
    </row>
    <row r="34" spans="1:7" x14ac:dyDescent="0.25">
      <c r="A34" s="26"/>
      <c r="B34" s="27">
        <v>12</v>
      </c>
      <c r="C34" s="27" t="s">
        <v>85</v>
      </c>
      <c r="D34" s="27" t="s">
        <v>55</v>
      </c>
      <c r="E34" s="27">
        <v>2</v>
      </c>
      <c r="F34" s="28"/>
      <c r="G34" s="25" t="str">
        <f t="shared" si="0"/>
        <v>Dim pProfit Code As string * 2'</v>
      </c>
    </row>
    <row r="35" spans="1:7" x14ac:dyDescent="0.25">
      <c r="A35" s="26"/>
      <c r="B35" s="27">
        <v>13</v>
      </c>
      <c r="C35" s="27" t="s">
        <v>26</v>
      </c>
      <c r="D35" s="27" t="s">
        <v>55</v>
      </c>
      <c r="E35" s="27">
        <v>16</v>
      </c>
      <c r="F35" s="28"/>
      <c r="G35" s="25" t="str">
        <f t="shared" si="0"/>
        <v>Dim pPersonal ID As string * 16'</v>
      </c>
    </row>
    <row r="36" spans="1:7" x14ac:dyDescent="0.25">
      <c r="A36" s="26"/>
      <c r="B36" s="27">
        <v>14</v>
      </c>
      <c r="C36" s="27" t="s">
        <v>27</v>
      </c>
      <c r="D36" s="27" t="s">
        <v>55</v>
      </c>
      <c r="E36" s="27">
        <v>2</v>
      </c>
      <c r="F36" s="28" t="s">
        <v>86</v>
      </c>
      <c r="G36" s="25" t="str">
        <f t="shared" si="0"/>
        <v>Dim pName Sequence Code As string * 2'Value in Message Category ZA (Name sequence combination)</v>
      </c>
    </row>
    <row r="37" spans="1:7" x14ac:dyDescent="0.25">
      <c r="A37" s="26"/>
      <c r="B37" s="27">
        <v>15</v>
      </c>
      <c r="C37" s="27" t="s">
        <v>28</v>
      </c>
      <c r="D37" s="27" t="s">
        <v>87</v>
      </c>
      <c r="E37" s="27">
        <v>10</v>
      </c>
      <c r="F37" s="28" t="s">
        <v>88</v>
      </c>
      <c r="G37" s="25" t="str">
        <f t="shared" si="0"/>
        <v>Dim pBirth Date As date * 10'Must be supplied before an individual can become an insured.</v>
      </c>
    </row>
    <row r="38" spans="1:7" x14ac:dyDescent="0.25">
      <c r="A38" s="26"/>
      <c r="B38" s="27">
        <v>16</v>
      </c>
      <c r="C38" s="27" t="s">
        <v>29</v>
      </c>
      <c r="D38" s="27" t="s">
        <v>55</v>
      </c>
      <c r="E38" s="27">
        <v>2</v>
      </c>
      <c r="F38" s="28" t="s">
        <v>89</v>
      </c>
      <c r="G38" s="25" t="str">
        <f t="shared" si="0"/>
        <v>Dim pSex Code As string * 2'Value in Message Category 16 (Sex)</v>
      </c>
    </row>
    <row r="39" spans="1:7" x14ac:dyDescent="0.25">
      <c r="A39" s="26"/>
      <c r="B39" s="27">
        <v>17</v>
      </c>
      <c r="C39" s="27" t="s">
        <v>90</v>
      </c>
      <c r="D39" s="27" t="s">
        <v>55</v>
      </c>
      <c r="E39" s="27">
        <v>80</v>
      </c>
      <c r="F39" s="28" t="s">
        <v>89</v>
      </c>
      <c r="G39" s="25" t="str">
        <f t="shared" si="0"/>
        <v>Dim pEMail Address As string * 80'Value in Message Category 16 (Sex)</v>
      </c>
    </row>
    <row r="40" spans="1:7" x14ac:dyDescent="0.25">
      <c r="A40" s="29"/>
      <c r="B40" s="30">
        <v>18</v>
      </c>
      <c r="C40" s="30" t="s">
        <v>91</v>
      </c>
      <c r="D40" s="30" t="s">
        <v>55</v>
      </c>
      <c r="E40" s="30">
        <v>1</v>
      </c>
      <c r="F40" s="31" t="s">
        <v>92</v>
      </c>
      <c r="G40" s="25" t="str">
        <f t="shared" si="0"/>
        <v>Dim pEMail Fulfillment As string * 1'Value is 'Y' if email fulfillment is desired, 'N' otherwise. 'N' is default.</v>
      </c>
    </row>
    <row r="42" spans="1:7" x14ac:dyDescent="0.25">
      <c r="A42" s="22" t="s">
        <v>93</v>
      </c>
      <c r="B42" s="23">
        <v>1</v>
      </c>
      <c r="C42" s="23" t="s">
        <v>48</v>
      </c>
      <c r="D42" s="23" t="s">
        <v>55</v>
      </c>
      <c r="E42" s="23">
        <v>25</v>
      </c>
      <c r="F42" s="24" t="s">
        <v>94</v>
      </c>
      <c r="G42" s="25" t="str">
        <f t="shared" si="0"/>
        <v>Dim pTag As string * 25'Must be 'BEGIN'</v>
      </c>
    </row>
    <row r="43" spans="1:7" x14ac:dyDescent="0.25">
      <c r="A43" s="26"/>
      <c r="B43" s="27">
        <v>2</v>
      </c>
      <c r="C43" s="27" t="s">
        <v>44</v>
      </c>
      <c r="D43" s="27" t="s">
        <v>55</v>
      </c>
      <c r="E43" s="27">
        <v>20</v>
      </c>
      <c r="F43" s="28"/>
      <c r="G43" s="25" t="str">
        <f t="shared" si="0"/>
        <v>Dim pRunID As string * 20'</v>
      </c>
    </row>
    <row r="44" spans="1:7" x14ac:dyDescent="0.25">
      <c r="A44" s="26"/>
      <c r="B44" s="27">
        <v>3</v>
      </c>
      <c r="C44" s="27" t="s">
        <v>95</v>
      </c>
      <c r="D44" s="27" t="s">
        <v>60</v>
      </c>
      <c r="E44" s="27">
        <v>10</v>
      </c>
      <c r="F44" s="28" t="s">
        <v>96</v>
      </c>
      <c r="G44" s="25" t="str">
        <f t="shared" si="0"/>
        <v>Dim pSequence Number As integer * 10'All transactions require a unique sequence within a run.</v>
      </c>
    </row>
    <row r="45" spans="1:7" ht="30" x14ac:dyDescent="0.25">
      <c r="A45" s="26"/>
      <c r="B45" s="27">
        <v>4</v>
      </c>
      <c r="C45" s="27" t="s">
        <v>97</v>
      </c>
      <c r="D45" s="27" t="s">
        <v>55</v>
      </c>
      <c r="E45" s="27">
        <v>3</v>
      </c>
      <c r="F45" s="28" t="s">
        <v>98</v>
      </c>
      <c r="G45" s="25" t="str">
        <f t="shared" si="0"/>
        <v>Dim pTransaction Code As string * 3'One of...ACT,ADD,ADJ,AJR,CAN,CAR,CCR,CPN,CPR,END,IDN,MRG,NEW,PND,PNR,PRG,RNS,UPC</v>
      </c>
    </row>
    <row r="46" spans="1:7" x14ac:dyDescent="0.25">
      <c r="A46" s="26"/>
      <c r="B46" s="27">
        <v>5</v>
      </c>
      <c r="C46" s="27" t="s">
        <v>7</v>
      </c>
      <c r="D46" s="27" t="s">
        <v>55</v>
      </c>
      <c r="E46" s="27">
        <v>2</v>
      </c>
      <c r="F46" s="28" t="s">
        <v>64</v>
      </c>
      <c r="G46" s="25" t="str">
        <f t="shared" si="0"/>
        <v>Dim pCountry Code As string * 2'Value in Message Category 27 (Country)</v>
      </c>
    </row>
    <row r="47" spans="1:7" ht="30" x14ac:dyDescent="0.25">
      <c r="A47" s="26"/>
      <c r="B47" s="27">
        <v>6</v>
      </c>
      <c r="C47" s="27" t="s">
        <v>45</v>
      </c>
      <c r="D47" s="27" t="s">
        <v>55</v>
      </c>
      <c r="E47" s="27">
        <v>15</v>
      </c>
      <c r="F47" s="28" t="s">
        <v>99</v>
      </c>
      <c r="G47" s="25" t="str">
        <f t="shared" si="0"/>
        <v>Dim pPolicy Number As string * 15'Blank is normal for NEW transactions. May provide policy for NEW transactions to pre-assign policy number.</v>
      </c>
    </row>
    <row r="48" spans="1:7" ht="30" x14ac:dyDescent="0.25">
      <c r="A48" s="29"/>
      <c r="B48" s="30">
        <v>7</v>
      </c>
      <c r="C48" s="30" t="s">
        <v>100</v>
      </c>
      <c r="D48" s="30" t="s">
        <v>55</v>
      </c>
      <c r="E48" s="30">
        <v>30</v>
      </c>
      <c r="F48" s="31" t="s">
        <v>101</v>
      </c>
      <c r="G48" s="25" t="str">
        <f t="shared" si="0"/>
        <v>Dim pProvider ID As string * 30'This value may, optionally, be assigned by an external provider as a cross reference from the external provider to the policy or transaction.</v>
      </c>
    </row>
    <row r="50" spans="1:7" x14ac:dyDescent="0.25">
      <c r="A50" s="22" t="s">
        <v>102</v>
      </c>
      <c r="B50" s="23">
        <v>1</v>
      </c>
      <c r="C50" s="23" t="s">
        <v>48</v>
      </c>
      <c r="D50" s="23" t="s">
        <v>55</v>
      </c>
      <c r="E50" s="23">
        <v>25</v>
      </c>
      <c r="F50" s="24" t="s">
        <v>103</v>
      </c>
      <c r="G50" s="25" t="str">
        <f t="shared" si="0"/>
        <v>Dim pTag As string * 25'Must be 'BENEFICIARY'</v>
      </c>
    </row>
    <row r="51" spans="1:7" x14ac:dyDescent="0.25">
      <c r="A51" s="26"/>
      <c r="B51" s="27">
        <v>2</v>
      </c>
      <c r="C51" s="27" t="s">
        <v>57</v>
      </c>
      <c r="D51" s="27" t="s">
        <v>55</v>
      </c>
      <c r="E51" s="27">
        <v>6</v>
      </c>
      <c r="F51" s="28" t="s">
        <v>58</v>
      </c>
      <c r="G51" s="25" t="str">
        <f t="shared" si="0"/>
        <v>Dim pNew or Update As string * 6'Must be 'new' or 'update'</v>
      </c>
    </row>
    <row r="52" spans="1:7" x14ac:dyDescent="0.25">
      <c r="A52" s="26"/>
      <c r="B52" s="27">
        <v>3</v>
      </c>
      <c r="C52" s="27" t="s">
        <v>104</v>
      </c>
      <c r="D52" s="27" t="s">
        <v>55</v>
      </c>
      <c r="E52" s="27">
        <v>6</v>
      </c>
      <c r="F52" s="28"/>
      <c r="G52" s="25" t="str">
        <f t="shared" si="0"/>
        <v>Dim pProduct ID As string * 6'</v>
      </c>
    </row>
    <row r="53" spans="1:7" x14ac:dyDescent="0.25">
      <c r="A53" s="26"/>
      <c r="B53" s="27">
        <v>4</v>
      </c>
      <c r="C53" s="27" t="s">
        <v>71</v>
      </c>
      <c r="D53" s="27" t="s">
        <v>55</v>
      </c>
      <c r="E53" s="27">
        <v>9</v>
      </c>
      <c r="F53" s="28" t="s">
        <v>105</v>
      </c>
      <c r="G53" s="25" t="str">
        <f t="shared" si="0"/>
        <v>Dim pAccount ID As string * 9'May use macro representing account id.</v>
      </c>
    </row>
    <row r="54" spans="1:7" x14ac:dyDescent="0.25">
      <c r="A54" s="26"/>
      <c r="B54" s="27">
        <v>5</v>
      </c>
      <c r="C54" s="27" t="s">
        <v>106</v>
      </c>
      <c r="D54" s="27" t="s">
        <v>107</v>
      </c>
      <c r="E54" s="27">
        <v>250</v>
      </c>
      <c r="F54" s="28"/>
      <c r="G54" s="25" t="str">
        <f t="shared" si="0"/>
        <v>Dim pFree Text As string  * 250'</v>
      </c>
    </row>
    <row r="55" spans="1:7" x14ac:dyDescent="0.25">
      <c r="A55" s="26"/>
      <c r="B55" s="27">
        <v>6</v>
      </c>
      <c r="C55" s="27" t="s">
        <v>108</v>
      </c>
      <c r="D55" s="27" t="s">
        <v>55</v>
      </c>
      <c r="E55" s="27">
        <v>50</v>
      </c>
      <c r="F55" s="28" t="s">
        <v>109</v>
      </c>
      <c r="G55" s="25" t="str">
        <f t="shared" si="0"/>
        <v>Dim pStructured Info 1 As string * 50'&lt;30-byte Name&gt;&lt;blank&gt;&lt;15-byte Relationship&gt;&lt;blank&gt;&lt;3-byte Percentage&gt;</v>
      </c>
    </row>
    <row r="56" spans="1:7" x14ac:dyDescent="0.25">
      <c r="A56" s="26"/>
      <c r="B56" s="27">
        <v>7</v>
      </c>
      <c r="C56" s="27" t="s">
        <v>110</v>
      </c>
      <c r="D56" s="27" t="s">
        <v>55</v>
      </c>
      <c r="E56" s="27">
        <v>50</v>
      </c>
      <c r="F56" s="28" t="s">
        <v>109</v>
      </c>
      <c r="G56" s="25" t="str">
        <f t="shared" si="0"/>
        <v>Dim pStructured Info 2 As string * 50'&lt;30-byte Name&gt;&lt;blank&gt;&lt;15-byte Relationship&gt;&lt;blank&gt;&lt;3-byte Percentage&gt;</v>
      </c>
    </row>
    <row r="57" spans="1:7" x14ac:dyDescent="0.25">
      <c r="A57" s="26"/>
      <c r="B57" s="27">
        <v>8</v>
      </c>
      <c r="C57" s="27" t="s">
        <v>111</v>
      </c>
      <c r="D57" s="27" t="s">
        <v>55</v>
      </c>
      <c r="E57" s="27">
        <v>50</v>
      </c>
      <c r="F57" s="28" t="s">
        <v>109</v>
      </c>
      <c r="G57" s="25" t="str">
        <f t="shared" si="0"/>
        <v>Dim pStructured Info 3 As string * 50'&lt;30-byte Name&gt;&lt;blank&gt;&lt;15-byte Relationship&gt;&lt;blank&gt;&lt;3-byte Percentage&gt;</v>
      </c>
    </row>
    <row r="58" spans="1:7" x14ac:dyDescent="0.25">
      <c r="A58" s="26"/>
      <c r="B58" s="27">
        <v>9</v>
      </c>
      <c r="C58" s="27" t="s">
        <v>112</v>
      </c>
      <c r="D58" s="27" t="s">
        <v>55</v>
      </c>
      <c r="E58" s="27">
        <v>50</v>
      </c>
      <c r="F58" s="28" t="s">
        <v>109</v>
      </c>
      <c r="G58" s="25" t="str">
        <f t="shared" si="0"/>
        <v>Dim pStructured Info 4 As string * 50'&lt;30-byte Name&gt;&lt;blank&gt;&lt;15-byte Relationship&gt;&lt;blank&gt;&lt;3-byte Percentage&gt;</v>
      </c>
    </row>
    <row r="59" spans="1:7" x14ac:dyDescent="0.25">
      <c r="A59" s="29"/>
      <c r="B59" s="30">
        <v>10</v>
      </c>
      <c r="C59" s="30" t="s">
        <v>113</v>
      </c>
      <c r="D59" s="30" t="s">
        <v>55</v>
      </c>
      <c r="E59" s="30">
        <v>50</v>
      </c>
      <c r="F59" s="31" t="s">
        <v>109</v>
      </c>
      <c r="G59" s="25" t="str">
        <f t="shared" si="0"/>
        <v>Dim pStructured Info 5 As string * 50'&lt;30-byte Name&gt;&lt;blank&gt;&lt;15-byte Relationship&gt;&lt;blank&gt;&lt;3-byte Percentage&gt;</v>
      </c>
    </row>
    <row r="61" spans="1:7" x14ac:dyDescent="0.25">
      <c r="A61" s="22" t="s">
        <v>114</v>
      </c>
      <c r="B61" s="23">
        <v>1</v>
      </c>
      <c r="C61" s="23" t="s">
        <v>48</v>
      </c>
      <c r="D61" s="23" t="s">
        <v>55</v>
      </c>
      <c r="E61" s="23">
        <v>25</v>
      </c>
      <c r="F61" s="24" t="s">
        <v>115</v>
      </c>
      <c r="G61" s="25" t="str">
        <f t="shared" si="0"/>
        <v>Dim pTag As string * 25'Must be 'BILLDATES'</v>
      </c>
    </row>
    <row r="62" spans="1:7" x14ac:dyDescent="0.25">
      <c r="A62" s="26"/>
      <c r="B62" s="27">
        <v>2</v>
      </c>
      <c r="C62" s="27" t="s">
        <v>116</v>
      </c>
      <c r="D62" s="27" t="s">
        <v>60</v>
      </c>
      <c r="E62" s="27">
        <v>10</v>
      </c>
      <c r="F62" s="28" t="s">
        <v>117</v>
      </c>
      <c r="G62" s="25" t="str">
        <f t="shared" si="0"/>
        <v>Dim pBill Now As integer * 10'A value of 1 indicates that immediate billing should be done.</v>
      </c>
    </row>
    <row r="63" spans="1:7" x14ac:dyDescent="0.25">
      <c r="A63" s="26"/>
      <c r="B63" s="27">
        <v>3</v>
      </c>
      <c r="C63" s="27" t="s">
        <v>118</v>
      </c>
      <c r="D63" s="27" t="s">
        <v>60</v>
      </c>
      <c r="E63" s="27">
        <v>10</v>
      </c>
      <c r="F63" s="28" t="s">
        <v>119</v>
      </c>
      <c r="G63" s="25" t="str">
        <f t="shared" si="0"/>
        <v>Dim pNumber of Invoices As integer * 10'Number of billing periods to bill. 1 is only value currently supported.</v>
      </c>
    </row>
    <row r="64" spans="1:7" x14ac:dyDescent="0.25">
      <c r="A64" s="29"/>
      <c r="B64" s="30">
        <v>4</v>
      </c>
      <c r="C64" s="30" t="s">
        <v>120</v>
      </c>
      <c r="D64" s="30" t="s">
        <v>60</v>
      </c>
      <c r="E64" s="30">
        <v>10</v>
      </c>
      <c r="F64" s="31" t="s">
        <v>121</v>
      </c>
      <c r="G64" s="25" t="str">
        <f t="shared" si="0"/>
        <v>Dim pReconcile Now As integer * 10'A value of 1 indicates that immediate reconciliation should be done.</v>
      </c>
    </row>
    <row r="66" spans="1:7" x14ac:dyDescent="0.25">
      <c r="A66" s="22" t="s">
        <v>122</v>
      </c>
      <c r="B66" s="23">
        <v>1</v>
      </c>
      <c r="C66" s="23" t="s">
        <v>48</v>
      </c>
      <c r="D66" s="23" t="s">
        <v>55</v>
      </c>
      <c r="E66" s="23">
        <v>25</v>
      </c>
      <c r="F66" s="24" t="s">
        <v>115</v>
      </c>
      <c r="G66" s="25" t="str">
        <f t="shared" si="0"/>
        <v>Dim pTag As string * 25'Must be 'BILLDATES'</v>
      </c>
    </row>
    <row r="67" spans="1:7" x14ac:dyDescent="0.25">
      <c r="A67" s="26"/>
      <c r="B67" s="27">
        <v>2</v>
      </c>
      <c r="C67" s="27" t="s">
        <v>123</v>
      </c>
      <c r="D67" s="27" t="s">
        <v>87</v>
      </c>
      <c r="E67" s="27">
        <v>10</v>
      </c>
      <c r="F67" s="28"/>
      <c r="G67" s="25" t="str">
        <f t="shared" ref="G67:G130" si="1">CONCATENATE("Dim p",C67," As ",D67," * ",E67,"'",F67)</f>
        <v>Dim pBilled To Date As date * 10'</v>
      </c>
    </row>
    <row r="68" spans="1:7" x14ac:dyDescent="0.25">
      <c r="A68" s="29"/>
      <c r="B68" s="30">
        <v>3</v>
      </c>
      <c r="C68" s="30" t="s">
        <v>124</v>
      </c>
      <c r="D68" s="30" t="s">
        <v>87</v>
      </c>
      <c r="E68" s="30">
        <v>10</v>
      </c>
      <c r="F68" s="31"/>
      <c r="G68" s="25" t="str">
        <f t="shared" si="1"/>
        <v>Dim pPaid To Date As date * 10'</v>
      </c>
    </row>
    <row r="70" spans="1:7" x14ac:dyDescent="0.25">
      <c r="A70" s="22" t="s">
        <v>125</v>
      </c>
      <c r="B70" s="23">
        <v>1</v>
      </c>
      <c r="C70" s="23" t="s">
        <v>48</v>
      </c>
      <c r="D70" s="23" t="s">
        <v>55</v>
      </c>
      <c r="E70" s="23">
        <v>25</v>
      </c>
      <c r="F70" s="24" t="s">
        <v>126</v>
      </c>
      <c r="G70" s="25" t="str">
        <f t="shared" si="1"/>
        <v>Dim pTag As string * 25'Must be 'CARDREG'</v>
      </c>
    </row>
    <row r="71" spans="1:7" x14ac:dyDescent="0.25">
      <c r="A71" s="26"/>
      <c r="B71" s="27">
        <v>2</v>
      </c>
      <c r="C71" s="27" t="s">
        <v>57</v>
      </c>
      <c r="D71" s="27" t="s">
        <v>55</v>
      </c>
      <c r="E71" s="27">
        <v>6</v>
      </c>
      <c r="F71" s="28" t="s">
        <v>58</v>
      </c>
      <c r="G71" s="25" t="str">
        <f t="shared" si="1"/>
        <v>Dim pNew or Update As string * 6'Must be 'new' or 'update'</v>
      </c>
    </row>
    <row r="72" spans="1:7" x14ac:dyDescent="0.25">
      <c r="A72" s="26"/>
      <c r="B72" s="27">
        <v>3</v>
      </c>
      <c r="C72" s="27" t="s">
        <v>127</v>
      </c>
      <c r="D72" s="27" t="s">
        <v>60</v>
      </c>
      <c r="E72" s="27">
        <v>10</v>
      </c>
      <c r="F72" s="28" t="s">
        <v>128</v>
      </c>
      <c r="G72" s="25" t="str">
        <f t="shared" si="1"/>
        <v>Dim pCard ID As integer * 10'Must be empty if 'new' it will be set to (MAX(clst_id) 1) if at least one row exists</v>
      </c>
    </row>
    <row r="73" spans="1:7" x14ac:dyDescent="0.25">
      <c r="A73" s="26"/>
      <c r="B73" s="27">
        <v>4</v>
      </c>
      <c r="C73" s="27" t="s">
        <v>71</v>
      </c>
      <c r="D73" s="27" t="s">
        <v>55</v>
      </c>
      <c r="E73" s="27">
        <v>9</v>
      </c>
      <c r="F73" s="28" t="s">
        <v>129</v>
      </c>
      <c r="G73" s="25" t="str">
        <f t="shared" si="1"/>
        <v>Dim pAccount ID As string * 9'May use macro for account id.   This is the policy holder account id.</v>
      </c>
    </row>
    <row r="74" spans="1:7" x14ac:dyDescent="0.25">
      <c r="A74" s="26"/>
      <c r="B74" s="27">
        <v>5</v>
      </c>
      <c r="C74" s="27" t="s">
        <v>104</v>
      </c>
      <c r="D74" s="27" t="s">
        <v>55</v>
      </c>
      <c r="E74" s="27">
        <v>6</v>
      </c>
      <c r="F74" s="28"/>
      <c r="G74" s="25" t="str">
        <f t="shared" si="1"/>
        <v>Dim pProduct ID As string * 6'</v>
      </c>
    </row>
    <row r="75" spans="1:7" x14ac:dyDescent="0.25">
      <c r="A75" s="26"/>
      <c r="B75" s="27">
        <v>6</v>
      </c>
      <c r="C75" s="27" t="s">
        <v>130</v>
      </c>
      <c r="D75" s="27" t="s">
        <v>55</v>
      </c>
      <c r="E75" s="27">
        <v>9</v>
      </c>
      <c r="F75" s="28"/>
      <c r="G75" s="25" t="str">
        <f t="shared" si="1"/>
        <v>Dim pCard Type ID As string * 9'</v>
      </c>
    </row>
    <row r="76" spans="1:7" x14ac:dyDescent="0.25">
      <c r="A76" s="26"/>
      <c r="B76" s="27">
        <v>7</v>
      </c>
      <c r="C76" s="27" t="s">
        <v>131</v>
      </c>
      <c r="D76" s="27" t="s">
        <v>55</v>
      </c>
      <c r="E76" s="27">
        <v>20</v>
      </c>
      <c r="F76" s="28"/>
      <c r="G76" s="25" t="str">
        <f t="shared" si="1"/>
        <v>Dim pCard Account Number As string * 20'</v>
      </c>
    </row>
    <row r="77" spans="1:7" x14ac:dyDescent="0.25">
      <c r="A77" s="26"/>
      <c r="B77" s="27">
        <v>8</v>
      </c>
      <c r="C77" s="27" t="s">
        <v>132</v>
      </c>
      <c r="D77" s="27" t="s">
        <v>55</v>
      </c>
      <c r="E77" s="27">
        <v>50</v>
      </c>
      <c r="F77" s="28"/>
      <c r="G77" s="25" t="str">
        <f t="shared" si="1"/>
        <v>Dim pCard Holder Name As string * 50'</v>
      </c>
    </row>
    <row r="78" spans="1:7" x14ac:dyDescent="0.25">
      <c r="A78" s="26"/>
      <c r="B78" s="27">
        <v>9</v>
      </c>
      <c r="C78" s="27" t="s">
        <v>133</v>
      </c>
      <c r="D78" s="27" t="s">
        <v>55</v>
      </c>
      <c r="E78" s="27">
        <v>50</v>
      </c>
      <c r="F78" s="28"/>
      <c r="G78" s="25" t="str">
        <f t="shared" si="1"/>
        <v>Dim pRemark 1 As string * 50'</v>
      </c>
    </row>
    <row r="79" spans="1:7" x14ac:dyDescent="0.25">
      <c r="A79" s="26"/>
      <c r="B79" s="27">
        <v>10</v>
      </c>
      <c r="C79" s="27" t="s">
        <v>134</v>
      </c>
      <c r="D79" s="27" t="s">
        <v>55</v>
      </c>
      <c r="E79" s="27">
        <v>50</v>
      </c>
      <c r="F79" s="28"/>
      <c r="G79" s="25" t="str">
        <f t="shared" si="1"/>
        <v>Dim pRemark 2 As string * 50'</v>
      </c>
    </row>
    <row r="80" spans="1:7" x14ac:dyDescent="0.25">
      <c r="A80" s="26"/>
      <c r="B80" s="27">
        <v>11</v>
      </c>
      <c r="C80" s="27" t="s">
        <v>135</v>
      </c>
      <c r="D80" s="27" t="s">
        <v>60</v>
      </c>
      <c r="E80" s="27">
        <v>10</v>
      </c>
      <c r="F80" s="28" t="s">
        <v>136</v>
      </c>
      <c r="G80" s="25" t="str">
        <f t="shared" si="1"/>
        <v>Dim pCard Status As integer * 10'Defaults to 1 - 'Active Status' 0 - Inactive Status</v>
      </c>
    </row>
    <row r="81" spans="1:7" x14ac:dyDescent="0.25">
      <c r="A81" s="26"/>
      <c r="B81" s="27">
        <v>12</v>
      </c>
      <c r="C81" s="27" t="s">
        <v>137</v>
      </c>
      <c r="D81" s="27" t="s">
        <v>55</v>
      </c>
      <c r="E81" s="27">
        <v>10</v>
      </c>
      <c r="F81" s="28"/>
      <c r="G81" s="25" t="str">
        <f t="shared" si="1"/>
        <v>Dim pOperator ID As string * 10'</v>
      </c>
    </row>
    <row r="82" spans="1:7" x14ac:dyDescent="0.25">
      <c r="A82" s="26"/>
      <c r="B82" s="27">
        <v>13</v>
      </c>
      <c r="C82" s="27" t="s">
        <v>138</v>
      </c>
      <c r="D82" s="27" t="s">
        <v>55</v>
      </c>
      <c r="E82" s="27">
        <v>2</v>
      </c>
      <c r="F82" s="28" t="s">
        <v>139</v>
      </c>
      <c r="G82" s="25" t="str">
        <f t="shared" si="1"/>
        <v>Dim pCancel Reason As string * 2'Must match msgd_id for msgd_category 'SF'. Should be empty if 'Active' status.</v>
      </c>
    </row>
    <row r="83" spans="1:7" x14ac:dyDescent="0.25">
      <c r="A83" s="26"/>
      <c r="B83" s="27">
        <v>14</v>
      </c>
      <c r="C83" s="27" t="s">
        <v>140</v>
      </c>
      <c r="D83" s="27" t="s">
        <v>87</v>
      </c>
      <c r="E83" s="27">
        <v>10</v>
      </c>
      <c r="F83" s="28" t="s">
        <v>141</v>
      </c>
      <c r="G83" s="25" t="str">
        <f t="shared" si="1"/>
        <v>Dim pLost Card Timestamp As date * 10'Leavy empty if status is 'Active' - Date stored in timestamp format</v>
      </c>
    </row>
    <row r="84" spans="1:7" x14ac:dyDescent="0.25">
      <c r="A84" s="26"/>
      <c r="B84" s="27">
        <v>15</v>
      </c>
      <c r="C84" s="27" t="s">
        <v>142</v>
      </c>
      <c r="D84" s="27" t="s">
        <v>55</v>
      </c>
      <c r="E84" s="27">
        <v>50</v>
      </c>
      <c r="F84" s="28" t="s">
        <v>143</v>
      </c>
      <c r="G84" s="25" t="str">
        <f t="shared" si="1"/>
        <v>Dim pLost Card Location As string * 50'Leave empty if status is 'Active'</v>
      </c>
    </row>
    <row r="85" spans="1:7" x14ac:dyDescent="0.25">
      <c r="A85" s="26"/>
      <c r="B85" s="27">
        <v>16</v>
      </c>
      <c r="C85" s="27" t="s">
        <v>144</v>
      </c>
      <c r="D85" s="27" t="s">
        <v>55</v>
      </c>
      <c r="E85" s="27">
        <v>2</v>
      </c>
      <c r="F85" s="28" t="s">
        <v>145</v>
      </c>
      <c r="G85" s="25" t="str">
        <f t="shared" si="1"/>
        <v>Dim pIssuer Response As string * 2'Must match msgd_id for msgd_category 'SG'. Should be empty if 'Active' status.</v>
      </c>
    </row>
    <row r="86" spans="1:7" x14ac:dyDescent="0.25">
      <c r="A86" s="26"/>
      <c r="B86" s="27">
        <v>17</v>
      </c>
      <c r="C86" s="27" t="s">
        <v>146</v>
      </c>
      <c r="D86" s="27" t="s">
        <v>87</v>
      </c>
      <c r="E86" s="27">
        <v>10</v>
      </c>
      <c r="F86" s="28" t="s">
        <v>147</v>
      </c>
      <c r="G86" s="25" t="str">
        <f t="shared" si="1"/>
        <v>Dim pIssuer Response Date As date * 10'Leave empty if status is 'Active' - Stored as timestamp format.</v>
      </c>
    </row>
    <row r="87" spans="1:7" x14ac:dyDescent="0.25">
      <c r="A87" s="26"/>
      <c r="B87" s="27">
        <v>18</v>
      </c>
      <c r="C87" s="27" t="s">
        <v>148</v>
      </c>
      <c r="D87" s="27" t="s">
        <v>55</v>
      </c>
      <c r="E87" s="27">
        <v>26</v>
      </c>
      <c r="F87" s="28" t="s">
        <v>149</v>
      </c>
      <c r="G87" s="25" t="str">
        <f t="shared" si="1"/>
        <v>Dim pReport Timestamp As string * 26'Leave empty if status is 'Active'. Defaults to current timestamp</v>
      </c>
    </row>
    <row r="88" spans="1:7" x14ac:dyDescent="0.25">
      <c r="A88" s="29"/>
      <c r="B88" s="30">
        <v>19</v>
      </c>
      <c r="C88" s="30" t="s">
        <v>150</v>
      </c>
      <c r="D88" s="30" t="s">
        <v>55</v>
      </c>
      <c r="E88" s="30">
        <v>7</v>
      </c>
      <c r="F88" s="31" t="s">
        <v>151</v>
      </c>
      <c r="G88" s="25" t="str">
        <f t="shared" si="1"/>
        <v>Dim pPrint Indicator As string * 7'May be 'print', 'noprint' or 'suspend' to indicate SuperPrint print request.</v>
      </c>
    </row>
    <row r="90" spans="1:7" x14ac:dyDescent="0.25">
      <c r="A90" s="22" t="s">
        <v>152</v>
      </c>
      <c r="B90" s="23">
        <v>1</v>
      </c>
      <c r="C90" s="23" t="s">
        <v>48</v>
      </c>
      <c r="D90" s="23" t="s">
        <v>55</v>
      </c>
      <c r="E90" s="23">
        <v>25</v>
      </c>
      <c r="F90" s="24" t="s">
        <v>153</v>
      </c>
      <c r="G90" s="25" t="str">
        <f t="shared" si="1"/>
        <v>Dim pTag As string * 25'Must be 'DEPENDENT'</v>
      </c>
    </row>
    <row r="91" spans="1:7" x14ac:dyDescent="0.25">
      <c r="A91" s="26"/>
      <c r="B91" s="27">
        <v>2</v>
      </c>
      <c r="C91" s="27" t="s">
        <v>57</v>
      </c>
      <c r="D91" s="27" t="s">
        <v>55</v>
      </c>
      <c r="E91" s="27">
        <v>6</v>
      </c>
      <c r="F91" s="28" t="s">
        <v>58</v>
      </c>
      <c r="G91" s="25" t="str">
        <f t="shared" si="1"/>
        <v>Dim pNew or Update As string * 6'Must be 'new' or 'update'</v>
      </c>
    </row>
    <row r="92" spans="1:7" x14ac:dyDescent="0.25">
      <c r="A92" s="26"/>
      <c r="B92" s="27">
        <v>3</v>
      </c>
      <c r="C92" s="27" t="s">
        <v>71</v>
      </c>
      <c r="D92" s="27" t="s">
        <v>55</v>
      </c>
      <c r="E92" s="27">
        <v>9</v>
      </c>
      <c r="F92" s="28" t="s">
        <v>154</v>
      </c>
      <c r="G92" s="25" t="str">
        <f t="shared" si="1"/>
        <v>Dim pAccount ID As string * 9'Primary Account ID.  May use macro representing account id.</v>
      </c>
    </row>
    <row r="93" spans="1:7" x14ac:dyDescent="0.25">
      <c r="A93" s="26"/>
      <c r="B93" s="27">
        <v>4</v>
      </c>
      <c r="C93" s="27" t="s">
        <v>155</v>
      </c>
      <c r="D93" s="27" t="s">
        <v>55</v>
      </c>
      <c r="E93" s="27">
        <v>9</v>
      </c>
      <c r="F93" s="28" t="s">
        <v>156</v>
      </c>
      <c r="G93" s="25" t="str">
        <f t="shared" si="1"/>
        <v>Dim pDependent Account ID As string * 9'Person related to Primary Account ID. May use macro representing account id.</v>
      </c>
    </row>
    <row r="94" spans="1:7" x14ac:dyDescent="0.25">
      <c r="A94" s="29"/>
      <c r="B94" s="30">
        <v>5</v>
      </c>
      <c r="C94" s="30" t="s">
        <v>157</v>
      </c>
      <c r="D94" s="30" t="s">
        <v>55</v>
      </c>
      <c r="E94" s="30">
        <v>2</v>
      </c>
      <c r="F94" s="31" t="s">
        <v>158</v>
      </c>
      <c r="G94" s="25" t="str">
        <f t="shared" si="1"/>
        <v>Dim pRelationship Code As string * 2'Value in Message Category 32 (Relationships).  Relationship to Primary Account ID.</v>
      </c>
    </row>
    <row r="96" spans="1:7" x14ac:dyDescent="0.25">
      <c r="A96" s="22" t="s">
        <v>159</v>
      </c>
      <c r="B96" s="23">
        <v>1</v>
      </c>
      <c r="C96" s="23" t="s">
        <v>48</v>
      </c>
      <c r="D96" s="23" t="s">
        <v>55</v>
      </c>
      <c r="E96" s="23">
        <v>25</v>
      </c>
      <c r="F96" s="24" t="s">
        <v>160</v>
      </c>
      <c r="G96" s="25" t="str">
        <f t="shared" si="1"/>
        <v>Dim pTag As string * 25'Must be 'DIARY'</v>
      </c>
    </row>
    <row r="97" spans="1:7" x14ac:dyDescent="0.25">
      <c r="A97" s="26"/>
      <c r="B97" s="27">
        <v>2</v>
      </c>
      <c r="C97" s="27" t="s">
        <v>71</v>
      </c>
      <c r="D97" s="27" t="s">
        <v>55</v>
      </c>
      <c r="E97" s="27">
        <v>9</v>
      </c>
      <c r="F97" s="28" t="s">
        <v>105</v>
      </c>
      <c r="G97" s="25" t="str">
        <f t="shared" si="1"/>
        <v>Dim pAccount ID As string * 9'May use macro representing account id.</v>
      </c>
    </row>
    <row r="98" spans="1:7" x14ac:dyDescent="0.25">
      <c r="A98" s="29"/>
      <c r="B98" s="30">
        <v>3</v>
      </c>
      <c r="C98" s="30" t="s">
        <v>161</v>
      </c>
      <c r="D98" s="30" t="s">
        <v>55</v>
      </c>
      <c r="E98" s="30">
        <v>32</v>
      </c>
      <c r="F98" s="31"/>
      <c r="G98" s="25" t="str">
        <f t="shared" si="1"/>
        <v>Dim pMessage As string * 32'</v>
      </c>
    </row>
    <row r="100" spans="1:7" x14ac:dyDescent="0.25">
      <c r="A100" s="32" t="s">
        <v>162</v>
      </c>
      <c r="B100" s="33">
        <v>1</v>
      </c>
      <c r="C100" s="33" t="s">
        <v>48</v>
      </c>
      <c r="D100" s="33" t="s">
        <v>55</v>
      </c>
      <c r="E100" s="33">
        <v>25</v>
      </c>
      <c r="F100" s="34" t="s">
        <v>163</v>
      </c>
      <c r="G100" s="25" t="str">
        <f t="shared" si="1"/>
        <v>Dim pTag As string * 25'Must be 'END'</v>
      </c>
    </row>
    <row r="102" spans="1:7" x14ac:dyDescent="0.25">
      <c r="A102" s="22" t="s">
        <v>164</v>
      </c>
      <c r="B102" s="23">
        <v>1</v>
      </c>
      <c r="C102" s="23" t="s">
        <v>48</v>
      </c>
      <c r="D102" s="23" t="s">
        <v>55</v>
      </c>
      <c r="E102" s="23">
        <v>25</v>
      </c>
      <c r="F102" s="24" t="s">
        <v>165</v>
      </c>
      <c r="G102" s="25" t="str">
        <f t="shared" si="1"/>
        <v>Dim pTag As string * 25'Must be 'EXCLUSION'</v>
      </c>
    </row>
    <row r="103" spans="1:7" x14ac:dyDescent="0.25">
      <c r="A103" s="26"/>
      <c r="B103" s="27">
        <v>2</v>
      </c>
      <c r="C103" s="27" t="s">
        <v>104</v>
      </c>
      <c r="D103" s="27" t="s">
        <v>55</v>
      </c>
      <c r="E103" s="27">
        <v>6</v>
      </c>
      <c r="F103" s="28"/>
      <c r="G103" s="25" t="str">
        <f t="shared" si="1"/>
        <v>Dim pProduct ID As string * 6'</v>
      </c>
    </row>
    <row r="104" spans="1:7" x14ac:dyDescent="0.25">
      <c r="A104" s="26"/>
      <c r="B104" s="27">
        <v>3</v>
      </c>
      <c r="C104" s="27" t="s">
        <v>71</v>
      </c>
      <c r="D104" s="27" t="s">
        <v>55</v>
      </c>
      <c r="E104" s="27">
        <v>9</v>
      </c>
      <c r="F104" s="28" t="s">
        <v>105</v>
      </c>
      <c r="G104" s="25" t="str">
        <f t="shared" si="1"/>
        <v>Dim pAccount ID As string * 9'May use macro representing account id.</v>
      </c>
    </row>
    <row r="105" spans="1:7" x14ac:dyDescent="0.25">
      <c r="A105" s="29"/>
      <c r="B105" s="30">
        <v>4</v>
      </c>
      <c r="C105" s="30" t="s">
        <v>166</v>
      </c>
      <c r="D105" s="30" t="s">
        <v>55</v>
      </c>
      <c r="E105" s="30">
        <v>3</v>
      </c>
      <c r="F105" s="31" t="s">
        <v>167</v>
      </c>
      <c r="G105" s="25" t="str">
        <f t="shared" si="1"/>
        <v>Dim pExclusion Code As string * 3'Must match entry in POL_EXCLUSIONS table.</v>
      </c>
    </row>
    <row r="107" spans="1:7" x14ac:dyDescent="0.25">
      <c r="A107" s="22" t="s">
        <v>168</v>
      </c>
      <c r="B107" s="23">
        <v>1</v>
      </c>
      <c r="C107" s="23" t="s">
        <v>48</v>
      </c>
      <c r="D107" s="23" t="s">
        <v>55</v>
      </c>
      <c r="E107" s="23">
        <v>25</v>
      </c>
      <c r="F107" s="24" t="s">
        <v>169</v>
      </c>
      <c r="G107" s="25" t="str">
        <f t="shared" si="1"/>
        <v>Dim pTag As string * 25'Must be 'HEALHIST'</v>
      </c>
    </row>
    <row r="108" spans="1:7" x14ac:dyDescent="0.25">
      <c r="A108" s="26"/>
      <c r="B108" s="27">
        <v>2</v>
      </c>
      <c r="C108" s="27" t="s">
        <v>71</v>
      </c>
      <c r="D108" s="27" t="s">
        <v>55</v>
      </c>
      <c r="E108" s="27">
        <v>9</v>
      </c>
      <c r="F108" s="28" t="s">
        <v>105</v>
      </c>
      <c r="G108" s="25" t="str">
        <f t="shared" si="1"/>
        <v>Dim pAccount ID As string * 9'May use macro representing account id.</v>
      </c>
    </row>
    <row r="109" spans="1:7" x14ac:dyDescent="0.25">
      <c r="A109" s="29"/>
      <c r="B109" s="30">
        <v>3</v>
      </c>
      <c r="C109" s="30" t="s">
        <v>170</v>
      </c>
      <c r="D109" s="30" t="s">
        <v>107</v>
      </c>
      <c r="E109" s="30">
        <v>50</v>
      </c>
      <c r="F109" s="31"/>
      <c r="G109" s="25" t="str">
        <f t="shared" si="1"/>
        <v>Dim pHistory As string  * 50'</v>
      </c>
    </row>
    <row r="111" spans="1:7" x14ac:dyDescent="0.25">
      <c r="A111" s="22" t="s">
        <v>171</v>
      </c>
      <c r="B111" s="23">
        <v>1</v>
      </c>
      <c r="C111" s="23" t="s">
        <v>48</v>
      </c>
      <c r="D111" s="23" t="s">
        <v>55</v>
      </c>
      <c r="E111" s="23">
        <v>25</v>
      </c>
      <c r="F111" s="24" t="s">
        <v>172</v>
      </c>
      <c r="G111" s="25" t="str">
        <f t="shared" si="1"/>
        <v>Dim pTag As string * 25'Must be 'INDEXATION'</v>
      </c>
    </row>
    <row r="112" spans="1:7" x14ac:dyDescent="0.25">
      <c r="A112" s="26"/>
      <c r="B112" s="27">
        <v>2</v>
      </c>
      <c r="C112" s="27" t="s">
        <v>57</v>
      </c>
      <c r="D112" s="27" t="s">
        <v>55</v>
      </c>
      <c r="E112" s="27">
        <v>6</v>
      </c>
      <c r="F112" s="28" t="s">
        <v>58</v>
      </c>
      <c r="G112" s="25" t="str">
        <f t="shared" si="1"/>
        <v>Dim pNew or Update As string * 6'Must be 'new' or 'update'</v>
      </c>
    </row>
    <row r="113" spans="1:7" x14ac:dyDescent="0.25">
      <c r="A113" s="26"/>
      <c r="B113" s="27">
        <v>3</v>
      </c>
      <c r="C113" s="27" t="s">
        <v>104</v>
      </c>
      <c r="D113" s="27" t="s">
        <v>55</v>
      </c>
      <c r="E113" s="27">
        <v>6</v>
      </c>
      <c r="F113" s="28"/>
      <c r="G113" s="25" t="str">
        <f t="shared" si="1"/>
        <v>Dim pProduct ID As string * 6'</v>
      </c>
    </row>
    <row r="114" spans="1:7" x14ac:dyDescent="0.25">
      <c r="A114" s="26"/>
      <c r="B114" s="27">
        <v>4</v>
      </c>
      <c r="C114" s="27" t="s">
        <v>71</v>
      </c>
      <c r="D114" s="27" t="s">
        <v>55</v>
      </c>
      <c r="E114" s="27">
        <v>9</v>
      </c>
      <c r="F114" s="28" t="s">
        <v>173</v>
      </c>
      <c r="G114" s="25" t="str">
        <f t="shared" si="1"/>
        <v>Dim pAccount ID As string * 9'Required for individually rated product. May use macro representing account id.</v>
      </c>
    </row>
    <row r="115" spans="1:7" x14ac:dyDescent="0.25">
      <c r="A115" s="26"/>
      <c r="B115" s="27">
        <v>5</v>
      </c>
      <c r="C115" s="27" t="s">
        <v>174</v>
      </c>
      <c r="D115" s="27" t="s">
        <v>60</v>
      </c>
      <c r="E115" s="27">
        <v>5</v>
      </c>
      <c r="F115" s="28"/>
      <c r="G115" s="25" t="str">
        <f t="shared" si="1"/>
        <v>Dim pSet Number As integer * 5'</v>
      </c>
    </row>
    <row r="116" spans="1:7" ht="30" x14ac:dyDescent="0.25">
      <c r="A116" s="26"/>
      <c r="B116" s="27">
        <v>6</v>
      </c>
      <c r="C116" s="27" t="s">
        <v>175</v>
      </c>
      <c r="D116" s="27" t="s">
        <v>87</v>
      </c>
      <c r="E116" s="27">
        <v>10</v>
      </c>
      <c r="F116" s="28" t="s">
        <v>176</v>
      </c>
      <c r="G116" s="25" t="str">
        <f t="shared" si="1"/>
        <v>Dim pIndex Start Date As date * 10'Must be policy effective date or a policy anniversary.  Set to Common Renewal Date if it exists.</v>
      </c>
    </row>
    <row r="117" spans="1:7" x14ac:dyDescent="0.25">
      <c r="A117" s="26"/>
      <c r="B117" s="27">
        <v>7</v>
      </c>
      <c r="C117" s="27" t="s">
        <v>177</v>
      </c>
      <c r="D117" s="27" t="s">
        <v>55</v>
      </c>
      <c r="E117" s="27">
        <v>2</v>
      </c>
      <c r="F117" s="28" t="s">
        <v>178</v>
      </c>
      <c r="G117" s="25" t="str">
        <f t="shared" si="1"/>
        <v>Dim pStatus As string * 2'May be 'F' for frozen or 'N' for new.</v>
      </c>
    </row>
    <row r="118" spans="1:7" ht="30" x14ac:dyDescent="0.25">
      <c r="A118" s="29"/>
      <c r="B118" s="30">
        <v>8</v>
      </c>
      <c r="C118" s="30" t="s">
        <v>179</v>
      </c>
      <c r="D118" s="30" t="s">
        <v>55</v>
      </c>
      <c r="E118" s="30">
        <v>8</v>
      </c>
      <c r="F118" s="31" t="s">
        <v>180</v>
      </c>
      <c r="G118" s="25" t="str">
        <f t="shared" si="1"/>
        <v>Dim pNext Reindex Evaluation As string * 8'May be 'auto' to let system determine next reindexation evaluation date or 'nextbill' for next billing.</v>
      </c>
    </row>
    <row r="120" spans="1:7" x14ac:dyDescent="0.25">
      <c r="A120" s="22" t="s">
        <v>181</v>
      </c>
      <c r="B120" s="23">
        <v>1</v>
      </c>
      <c r="C120" s="23" t="s">
        <v>48</v>
      </c>
      <c r="D120" s="23" t="s">
        <v>55</v>
      </c>
      <c r="E120" s="23">
        <v>25</v>
      </c>
      <c r="F120" s="24" t="s">
        <v>182</v>
      </c>
      <c r="G120" s="25" t="str">
        <f t="shared" si="1"/>
        <v>Dim pTag As string * 25'Must be 'INSURED'</v>
      </c>
    </row>
    <row r="121" spans="1:7" x14ac:dyDescent="0.25">
      <c r="A121" s="26"/>
      <c r="B121" s="27">
        <v>2</v>
      </c>
      <c r="C121" s="27" t="s">
        <v>57</v>
      </c>
      <c r="D121" s="27" t="s">
        <v>55</v>
      </c>
      <c r="E121" s="27">
        <v>6</v>
      </c>
      <c r="F121" s="28" t="s">
        <v>58</v>
      </c>
      <c r="G121" s="25" t="str">
        <f t="shared" si="1"/>
        <v>Dim pNew or Update As string * 6'Must be 'new' or 'update'</v>
      </c>
    </row>
    <row r="122" spans="1:7" x14ac:dyDescent="0.25">
      <c r="A122" s="26"/>
      <c r="B122" s="27">
        <v>3</v>
      </c>
      <c r="C122" s="27" t="s">
        <v>104</v>
      </c>
      <c r="D122" s="27" t="s">
        <v>55</v>
      </c>
      <c r="E122" s="27">
        <v>6</v>
      </c>
      <c r="F122" s="28"/>
      <c r="G122" s="25" t="str">
        <f t="shared" si="1"/>
        <v>Dim pProduct ID As string * 6'</v>
      </c>
    </row>
    <row r="123" spans="1:7" x14ac:dyDescent="0.25">
      <c r="A123" s="26"/>
      <c r="B123" s="27">
        <v>4</v>
      </c>
      <c r="C123" s="27" t="s">
        <v>71</v>
      </c>
      <c r="D123" s="27" t="s">
        <v>55</v>
      </c>
      <c r="E123" s="27">
        <v>9</v>
      </c>
      <c r="F123" s="28" t="s">
        <v>105</v>
      </c>
      <c r="G123" s="25" t="str">
        <f t="shared" si="1"/>
        <v>Dim pAccount ID As string * 9'May use macro representing account id.</v>
      </c>
    </row>
    <row r="124" spans="1:7" x14ac:dyDescent="0.25">
      <c r="A124" s="26"/>
      <c r="B124" s="27">
        <v>5</v>
      </c>
      <c r="C124" s="27" t="s">
        <v>157</v>
      </c>
      <c r="D124" s="27" t="s">
        <v>55</v>
      </c>
      <c r="E124" s="27">
        <v>2</v>
      </c>
      <c r="F124" s="28" t="s">
        <v>183</v>
      </c>
      <c r="G124" s="25" t="str">
        <f t="shared" si="1"/>
        <v>Dim pRelationship Code As string * 2'Must be MI, SP or DP.</v>
      </c>
    </row>
    <row r="125" spans="1:7" x14ac:dyDescent="0.25">
      <c r="A125" s="26"/>
      <c r="B125" s="27">
        <v>6</v>
      </c>
      <c r="C125" s="27" t="s">
        <v>184</v>
      </c>
      <c r="D125" s="27" t="s">
        <v>55</v>
      </c>
      <c r="E125" s="27">
        <v>1</v>
      </c>
      <c r="F125" s="28" t="s">
        <v>185</v>
      </c>
      <c r="G125" s="25" t="str">
        <f t="shared" si="1"/>
        <v>Dim pBenefit Level As string * 1'For individually rated product only. Must be level allowed by PM product definition.</v>
      </c>
    </row>
    <row r="126" spans="1:7" x14ac:dyDescent="0.25">
      <c r="A126" s="26"/>
      <c r="B126" s="27">
        <v>7</v>
      </c>
      <c r="C126" s="27" t="s">
        <v>186</v>
      </c>
      <c r="D126" s="27" t="s">
        <v>187</v>
      </c>
      <c r="E126" s="27">
        <v>15</v>
      </c>
      <c r="F126" s="28" t="s">
        <v>188</v>
      </c>
      <c r="G126" s="25" t="str">
        <f t="shared" si="1"/>
        <v>Dim pBenefit Units As double * 15'For individually rated product only. Must be in PM product units range.</v>
      </c>
    </row>
    <row r="127" spans="1:7" x14ac:dyDescent="0.25">
      <c r="A127" s="26"/>
      <c r="B127" s="27">
        <v>8</v>
      </c>
      <c r="C127" s="27" t="s">
        <v>189</v>
      </c>
      <c r="D127" s="27" t="s">
        <v>55</v>
      </c>
      <c r="E127" s="27">
        <v>2</v>
      </c>
      <c r="F127" s="28" t="s">
        <v>190</v>
      </c>
      <c r="G127" s="25" t="str">
        <f t="shared" si="1"/>
        <v>Dim pRating Factor 1 As string * 2'For individually rated product only. Must match PM product rating factor 1.</v>
      </c>
    </row>
    <row r="128" spans="1:7" x14ac:dyDescent="0.25">
      <c r="A128" s="26"/>
      <c r="B128" s="27">
        <v>9</v>
      </c>
      <c r="C128" s="27" t="s">
        <v>191</v>
      </c>
      <c r="D128" s="27" t="s">
        <v>55</v>
      </c>
      <c r="E128" s="27">
        <v>2</v>
      </c>
      <c r="F128" s="28" t="s">
        <v>192</v>
      </c>
      <c r="G128" s="25" t="str">
        <f t="shared" si="1"/>
        <v>Dim pRating Factor 2 As string * 2'For individually rated product only. Must match PM product rating factor 2.</v>
      </c>
    </row>
    <row r="129" spans="1:7" x14ac:dyDescent="0.25">
      <c r="A129" s="26"/>
      <c r="B129" s="27">
        <v>10</v>
      </c>
      <c r="C129" s="27" t="s">
        <v>193</v>
      </c>
      <c r="D129" s="27" t="s">
        <v>55</v>
      </c>
      <c r="E129" s="27">
        <v>2</v>
      </c>
      <c r="F129" s="28" t="s">
        <v>194</v>
      </c>
      <c r="G129" s="25" t="str">
        <f t="shared" si="1"/>
        <v>Dim pRating Factor 3 As string * 2'For individually rated product only. Must match PM product rating factor 3.</v>
      </c>
    </row>
    <row r="130" spans="1:7" x14ac:dyDescent="0.25">
      <c r="A130" s="26"/>
      <c r="B130" s="27">
        <v>11</v>
      </c>
      <c r="C130" s="27" t="s">
        <v>195</v>
      </c>
      <c r="D130" s="27" t="s">
        <v>55</v>
      </c>
      <c r="E130" s="27">
        <v>2</v>
      </c>
      <c r="F130" s="28" t="s">
        <v>196</v>
      </c>
      <c r="G130" s="25" t="str">
        <f t="shared" si="1"/>
        <v>Dim pRating Factor 4 As string * 2'For individually rated product only. Must match PM product rating factor 4.</v>
      </c>
    </row>
    <row r="131" spans="1:7" x14ac:dyDescent="0.25">
      <c r="A131" s="26"/>
      <c r="B131" s="27">
        <v>12</v>
      </c>
      <c r="C131" s="27" t="s">
        <v>197</v>
      </c>
      <c r="D131" s="27" t="s">
        <v>55</v>
      </c>
      <c r="E131" s="27">
        <v>2</v>
      </c>
      <c r="F131" s="28" t="s">
        <v>198</v>
      </c>
      <c r="G131" s="25" t="str">
        <f t="shared" ref="G131:G194" si="2">CONCATENATE("Dim p",C131," As ",D131," * ",E131,"'",F131)</f>
        <v>Dim pRating Factor 5 As string * 2'For individually rated product only. Must match PM product rating factor 5.</v>
      </c>
    </row>
    <row r="132" spans="1:7" x14ac:dyDescent="0.25">
      <c r="A132" s="26"/>
      <c r="B132" s="27">
        <v>13</v>
      </c>
      <c r="C132" s="27" t="s">
        <v>199</v>
      </c>
      <c r="D132" s="27" t="s">
        <v>55</v>
      </c>
      <c r="E132" s="27">
        <v>2</v>
      </c>
      <c r="F132" s="28" t="s">
        <v>200</v>
      </c>
      <c r="G132" s="25" t="str">
        <f t="shared" si="2"/>
        <v>Dim pRating Factor 6 As string * 2'For individually rated product only. Must match PM product rating factor 6.</v>
      </c>
    </row>
    <row r="133" spans="1:7" x14ac:dyDescent="0.25">
      <c r="A133" s="26"/>
      <c r="B133" s="27">
        <v>14</v>
      </c>
      <c r="C133" s="27" t="s">
        <v>201</v>
      </c>
      <c r="D133" s="27" t="s">
        <v>55</v>
      </c>
      <c r="E133" s="27">
        <v>2</v>
      </c>
      <c r="F133" s="28" t="s">
        <v>202</v>
      </c>
      <c r="G133" s="25" t="str">
        <f t="shared" si="2"/>
        <v>Dim pRating Factor 7 As string * 2'For individually rated product only. Must match PM product rating factor 7.</v>
      </c>
    </row>
    <row r="134" spans="1:7" x14ac:dyDescent="0.25">
      <c r="A134" s="26"/>
      <c r="B134" s="27">
        <v>15</v>
      </c>
      <c r="C134" s="27" t="s">
        <v>203</v>
      </c>
      <c r="D134" s="27" t="s">
        <v>55</v>
      </c>
      <c r="E134" s="27">
        <v>2</v>
      </c>
      <c r="F134" s="28" t="s">
        <v>204</v>
      </c>
      <c r="G134" s="25" t="str">
        <f t="shared" si="2"/>
        <v>Dim pRating Factor 8 As string * 2'For individually rated product only. Must match PM product rating factor 8.</v>
      </c>
    </row>
    <row r="135" spans="1:7" x14ac:dyDescent="0.25">
      <c r="A135" s="26"/>
      <c r="B135" s="27">
        <v>16</v>
      </c>
      <c r="C135" s="27" t="s">
        <v>205</v>
      </c>
      <c r="D135" s="27" t="s">
        <v>55</v>
      </c>
      <c r="E135" s="27">
        <v>2</v>
      </c>
      <c r="F135" s="28" t="s">
        <v>206</v>
      </c>
      <c r="G135" s="25" t="str">
        <f t="shared" si="2"/>
        <v>Dim pBenefit Rating Factor 1 As string * 2'For individually rated product only. Must match PM product benefit rating factor 1.</v>
      </c>
    </row>
    <row r="136" spans="1:7" x14ac:dyDescent="0.25">
      <c r="A136" s="26"/>
      <c r="B136" s="27">
        <v>17</v>
      </c>
      <c r="C136" s="27" t="s">
        <v>207</v>
      </c>
      <c r="D136" s="27" t="s">
        <v>55</v>
      </c>
      <c r="E136" s="27">
        <v>2</v>
      </c>
      <c r="F136" s="28" t="s">
        <v>208</v>
      </c>
      <c r="G136" s="25" t="str">
        <f t="shared" si="2"/>
        <v>Dim pBenefit Rating Factor 2 As string * 2'For individually rated product only. Must match PM product benefit rating factor 2.</v>
      </c>
    </row>
    <row r="137" spans="1:7" x14ac:dyDescent="0.25">
      <c r="A137" s="26"/>
      <c r="B137" s="27">
        <v>18</v>
      </c>
      <c r="C137" s="27" t="s">
        <v>209</v>
      </c>
      <c r="D137" s="27" t="s">
        <v>55</v>
      </c>
      <c r="E137" s="27">
        <v>2</v>
      </c>
      <c r="F137" s="28" t="s">
        <v>210</v>
      </c>
      <c r="G137" s="25" t="str">
        <f t="shared" si="2"/>
        <v>Dim pBenefit Rating Factor 3 As string * 2'For individually rated product only. Must match PM product benefit rating factor 3.</v>
      </c>
    </row>
    <row r="138" spans="1:7" x14ac:dyDescent="0.25">
      <c r="A138" s="26"/>
      <c r="B138" s="27">
        <v>19</v>
      </c>
      <c r="C138" s="27" t="s">
        <v>211</v>
      </c>
      <c r="D138" s="27" t="s">
        <v>55</v>
      </c>
      <c r="E138" s="27">
        <v>2</v>
      </c>
      <c r="F138" s="28" t="s">
        <v>212</v>
      </c>
      <c r="G138" s="25" t="str">
        <f t="shared" si="2"/>
        <v>Dim pBenefit Rating Factor 4 As string * 2'For individually rated product only. Must match PM product benefit rating factor 4.</v>
      </c>
    </row>
    <row r="139" spans="1:7" x14ac:dyDescent="0.25">
      <c r="A139" s="26"/>
      <c r="B139" s="27">
        <v>20</v>
      </c>
      <c r="C139" s="27" t="s">
        <v>213</v>
      </c>
      <c r="D139" s="27" t="s">
        <v>55</v>
      </c>
      <c r="E139" s="27">
        <v>2</v>
      </c>
      <c r="F139" s="28" t="s">
        <v>214</v>
      </c>
      <c r="G139" s="25" t="str">
        <f t="shared" si="2"/>
        <v>Dim pBenefit Rating Factor 5 As string * 2'For individually rated product only. Must match PM product benefit rating factor 5.</v>
      </c>
    </row>
    <row r="140" spans="1:7" x14ac:dyDescent="0.25">
      <c r="A140" s="26"/>
      <c r="B140" s="27">
        <v>21</v>
      </c>
      <c r="C140" s="27" t="s">
        <v>215</v>
      </c>
      <c r="D140" s="27" t="s">
        <v>55</v>
      </c>
      <c r="E140" s="27">
        <v>2</v>
      </c>
      <c r="F140" s="28" t="s">
        <v>216</v>
      </c>
      <c r="G140" s="25" t="str">
        <f t="shared" si="2"/>
        <v>Dim pBenefit Rating Factor 6 As string * 2'For individually rated product only. Must match PM product benefit rating factor 6.</v>
      </c>
    </row>
    <row r="141" spans="1:7" x14ac:dyDescent="0.25">
      <c r="A141" s="26"/>
      <c r="B141" s="27">
        <v>22</v>
      </c>
      <c r="C141" s="27" t="s">
        <v>217</v>
      </c>
      <c r="D141" s="27" t="s">
        <v>55</v>
      </c>
      <c r="E141" s="27">
        <v>2</v>
      </c>
      <c r="F141" s="28" t="s">
        <v>218</v>
      </c>
      <c r="G141" s="25" t="str">
        <f t="shared" si="2"/>
        <v>Dim pBenefit Rating Factor 7 As string * 2'For individually rated product only. Must match PM product benefit rating factor 7.</v>
      </c>
    </row>
    <row r="142" spans="1:7" x14ac:dyDescent="0.25">
      <c r="A142" s="29"/>
      <c r="B142" s="30">
        <v>23</v>
      </c>
      <c r="C142" s="30" t="s">
        <v>219</v>
      </c>
      <c r="D142" s="30" t="s">
        <v>55</v>
      </c>
      <c r="E142" s="30">
        <v>2</v>
      </c>
      <c r="F142" s="31" t="s">
        <v>220</v>
      </c>
      <c r="G142" s="25" t="str">
        <f t="shared" si="2"/>
        <v>Dim pBenefit Rating Factor 8 As string * 2'For individually rated product only. Must match PM product benefit rating factor 8.</v>
      </c>
    </row>
    <row r="144" spans="1:7" x14ac:dyDescent="0.25">
      <c r="A144" s="22" t="s">
        <v>221</v>
      </c>
      <c r="B144" s="23">
        <v>1</v>
      </c>
      <c r="C144" s="23" t="s">
        <v>48</v>
      </c>
      <c r="D144" s="23" t="s">
        <v>55</v>
      </c>
      <c r="E144" s="23">
        <v>25</v>
      </c>
      <c r="F144" s="24" t="s">
        <v>222</v>
      </c>
      <c r="G144" s="25" t="str">
        <f t="shared" si="2"/>
        <v>Dim pTag As string * 25'Must be 'INSURED_REMOVE'</v>
      </c>
    </row>
    <row r="145" spans="1:7" x14ac:dyDescent="0.25">
      <c r="A145" s="26"/>
      <c r="B145" s="27">
        <v>2</v>
      </c>
      <c r="C145" s="27" t="s">
        <v>104</v>
      </c>
      <c r="D145" s="27" t="s">
        <v>55</v>
      </c>
      <c r="E145" s="27">
        <v>6</v>
      </c>
      <c r="F145" s="28"/>
      <c r="G145" s="25" t="str">
        <f t="shared" si="2"/>
        <v>Dim pProduct ID As string * 6'</v>
      </c>
    </row>
    <row r="146" spans="1:7" x14ac:dyDescent="0.25">
      <c r="A146" s="29"/>
      <c r="B146" s="30">
        <v>3</v>
      </c>
      <c r="C146" s="30" t="s">
        <v>71</v>
      </c>
      <c r="D146" s="30" t="s">
        <v>55</v>
      </c>
      <c r="E146" s="30">
        <v>9</v>
      </c>
      <c r="F146" s="31"/>
      <c r="G146" s="25" t="str">
        <f t="shared" si="2"/>
        <v>Dim pAccount ID As string * 9'</v>
      </c>
    </row>
    <row r="148" spans="1:7" x14ac:dyDescent="0.25">
      <c r="A148" s="22" t="s">
        <v>223</v>
      </c>
      <c r="B148" s="23">
        <v>1</v>
      </c>
      <c r="C148" s="23" t="s">
        <v>48</v>
      </c>
      <c r="D148" s="23" t="s">
        <v>55</v>
      </c>
      <c r="E148" s="23">
        <v>25</v>
      </c>
      <c r="F148" s="24" t="s">
        <v>224</v>
      </c>
      <c r="G148" s="25" t="str">
        <f t="shared" si="2"/>
        <v>Dim pTag As string * 25'Must be 'MASTER'</v>
      </c>
    </row>
    <row r="149" spans="1:7" x14ac:dyDescent="0.25">
      <c r="A149" s="26"/>
      <c r="B149" s="27">
        <v>2</v>
      </c>
      <c r="C149" s="27" t="s">
        <v>225</v>
      </c>
      <c r="D149" s="27" t="s">
        <v>55</v>
      </c>
      <c r="E149" s="27">
        <v>2</v>
      </c>
      <c r="F149" s="28" t="s">
        <v>76</v>
      </c>
      <c r="G149" s="25" t="str">
        <f t="shared" si="2"/>
        <v>Dim pPolicy Holder Address Type As string * 2'Value in Message Category 39 (Address Types)</v>
      </c>
    </row>
    <row r="150" spans="1:7" x14ac:dyDescent="0.25">
      <c r="A150" s="26"/>
      <c r="B150" s="27">
        <v>3</v>
      </c>
      <c r="C150" s="27" t="s">
        <v>226</v>
      </c>
      <c r="D150" s="27" t="s">
        <v>55</v>
      </c>
      <c r="E150" s="27">
        <v>2</v>
      </c>
      <c r="F150" s="28" t="s">
        <v>76</v>
      </c>
      <c r="G150" s="25" t="str">
        <f t="shared" si="2"/>
        <v>Dim pPolicy Payer Address Type As string * 2'Value in Message Category 39 (Address Types)</v>
      </c>
    </row>
    <row r="151" spans="1:7" x14ac:dyDescent="0.25">
      <c r="A151" s="26"/>
      <c r="B151" s="27">
        <v>4</v>
      </c>
      <c r="C151" s="27" t="s">
        <v>227</v>
      </c>
      <c r="D151" s="27" t="s">
        <v>55</v>
      </c>
      <c r="E151" s="27">
        <v>9</v>
      </c>
      <c r="F151" s="28" t="s">
        <v>105</v>
      </c>
      <c r="G151" s="25" t="str">
        <f t="shared" si="2"/>
        <v>Dim pPolicy Holder Account ID As string * 9'May use macro representing account id.</v>
      </c>
    </row>
    <row r="152" spans="1:7" x14ac:dyDescent="0.25">
      <c r="A152" s="29"/>
      <c r="B152" s="30">
        <v>5</v>
      </c>
      <c r="C152" s="30" t="s">
        <v>228</v>
      </c>
      <c r="D152" s="30" t="s">
        <v>55</v>
      </c>
      <c r="E152" s="30">
        <v>9</v>
      </c>
      <c r="F152" s="31" t="s">
        <v>105</v>
      </c>
      <c r="G152" s="25" t="str">
        <f t="shared" si="2"/>
        <v>Dim pPolicy Payer Account ID As string * 9'May use macro representing account id.</v>
      </c>
    </row>
    <row r="154" spans="1:7" x14ac:dyDescent="0.25">
      <c r="A154" s="22" t="s">
        <v>229</v>
      </c>
      <c r="B154" s="23">
        <v>1</v>
      </c>
      <c r="C154" s="23" t="s">
        <v>48</v>
      </c>
      <c r="D154" s="23" t="s">
        <v>55</v>
      </c>
      <c r="E154" s="23">
        <v>25</v>
      </c>
      <c r="F154" s="24" t="s">
        <v>230</v>
      </c>
      <c r="G154" s="25" t="str">
        <f t="shared" si="2"/>
        <v>Dim pTag As string * 25'Must be 'MERGE'</v>
      </c>
    </row>
    <row r="155" spans="1:7" x14ac:dyDescent="0.25">
      <c r="A155" s="26"/>
      <c r="B155" s="27">
        <v>2</v>
      </c>
      <c r="C155" s="27" t="s">
        <v>231</v>
      </c>
      <c r="D155" s="27" t="s">
        <v>55</v>
      </c>
      <c r="E155" s="27">
        <v>9</v>
      </c>
      <c r="F155" s="28" t="s">
        <v>232</v>
      </c>
      <c r="G155" s="25" t="str">
        <f t="shared" si="2"/>
        <v>Dim pAccount ID of 'Keep' acct As string * 9'Corresponds to account id that we're keeping.</v>
      </c>
    </row>
    <row r="156" spans="1:7" x14ac:dyDescent="0.25">
      <c r="A156" s="29"/>
      <c r="B156" s="30">
        <v>3</v>
      </c>
      <c r="C156" s="30" t="s">
        <v>233</v>
      </c>
      <c r="D156" s="30" t="s">
        <v>55</v>
      </c>
      <c r="E156" s="30">
        <v>9</v>
      </c>
      <c r="F156" s="31" t="s">
        <v>234</v>
      </c>
      <c r="G156" s="25" t="str">
        <f t="shared" si="2"/>
        <v>Dim pAccount ID of 'Discard' acct As string * 9'Corresponds to account id that we're discarding.</v>
      </c>
    </row>
    <row r="158" spans="1:7" x14ac:dyDescent="0.25">
      <c r="A158" s="22" t="s">
        <v>235</v>
      </c>
      <c r="B158" s="23">
        <v>1</v>
      </c>
      <c r="C158" s="23" t="s">
        <v>48</v>
      </c>
      <c r="D158" s="23" t="s">
        <v>55</v>
      </c>
      <c r="E158" s="23">
        <v>25</v>
      </c>
      <c r="F158" s="24" t="s">
        <v>236</v>
      </c>
      <c r="G158" s="25" t="str">
        <f t="shared" si="2"/>
        <v>Dim pTag As string * 25'Must be 'NEWACT'</v>
      </c>
    </row>
    <row r="159" spans="1:7" x14ac:dyDescent="0.25">
      <c r="A159" s="26"/>
      <c r="B159" s="27">
        <v>2</v>
      </c>
      <c r="C159" s="27" t="s">
        <v>237</v>
      </c>
      <c r="D159" s="27" t="s">
        <v>87</v>
      </c>
      <c r="E159" s="27">
        <v>10</v>
      </c>
      <c r="F159" s="28" t="s">
        <v>238</v>
      </c>
      <c r="G159" s="25" t="str">
        <f t="shared" si="2"/>
        <v>Dim pEvent From Date As date * 10'Must be within 1 week of the current date</v>
      </c>
    </row>
    <row r="160" spans="1:7" x14ac:dyDescent="0.25">
      <c r="A160" s="26"/>
      <c r="B160" s="27">
        <v>3</v>
      </c>
      <c r="C160" s="27" t="s">
        <v>239</v>
      </c>
      <c r="D160" s="27" t="s">
        <v>87</v>
      </c>
      <c r="E160" s="27">
        <v>10</v>
      </c>
      <c r="F160" s="28" t="s">
        <v>240</v>
      </c>
      <c r="G160" s="25" t="str">
        <f t="shared" si="2"/>
        <v>Dim pEvent To Date As date * 10'Must be later than the 'from' date above</v>
      </c>
    </row>
    <row r="161" spans="1:7" x14ac:dyDescent="0.25">
      <c r="A161" s="26"/>
      <c r="B161" s="27">
        <v>4</v>
      </c>
      <c r="C161" s="27" t="s">
        <v>241</v>
      </c>
      <c r="D161" s="27" t="s">
        <v>55</v>
      </c>
      <c r="E161" s="27">
        <v>2</v>
      </c>
      <c r="F161" s="28" t="s">
        <v>242</v>
      </c>
      <c r="G161" s="25" t="str">
        <f t="shared" si="2"/>
        <v>Dim pEvent Destination 1 As string * 2'Value in Message Category 27 (Country) (must be at least 1 destination)</v>
      </c>
    </row>
    <row r="162" spans="1:7" x14ac:dyDescent="0.25">
      <c r="A162" s="26"/>
      <c r="B162" s="27">
        <v>5</v>
      </c>
      <c r="C162" s="27" t="s">
        <v>243</v>
      </c>
      <c r="D162" s="27" t="s">
        <v>55</v>
      </c>
      <c r="E162" s="27">
        <v>2</v>
      </c>
      <c r="F162" s="28" t="s">
        <v>64</v>
      </c>
      <c r="G162" s="25" t="str">
        <f t="shared" si="2"/>
        <v>Dim pEvent Destination 2 As string * 2'Value in Message Category 27 (Country)</v>
      </c>
    </row>
    <row r="163" spans="1:7" x14ac:dyDescent="0.25">
      <c r="A163" s="26"/>
      <c r="B163" s="27">
        <v>6</v>
      </c>
      <c r="C163" s="27" t="s">
        <v>244</v>
      </c>
      <c r="D163" s="27" t="s">
        <v>55</v>
      </c>
      <c r="E163" s="27">
        <v>2</v>
      </c>
      <c r="F163" s="28" t="s">
        <v>64</v>
      </c>
      <c r="G163" s="25" t="str">
        <f t="shared" si="2"/>
        <v>Dim pEvent Destination 3 As string * 2'Value in Message Category 27 (Country)</v>
      </c>
    </row>
    <row r="164" spans="1:7" x14ac:dyDescent="0.25">
      <c r="A164" s="26"/>
      <c r="B164" s="27">
        <v>7</v>
      </c>
      <c r="C164" s="27" t="s">
        <v>245</v>
      </c>
      <c r="D164" s="27" t="s">
        <v>55</v>
      </c>
      <c r="E164" s="27">
        <v>2</v>
      </c>
      <c r="F164" s="28" t="s">
        <v>64</v>
      </c>
      <c r="G164" s="25" t="str">
        <f t="shared" si="2"/>
        <v>Dim pEvent Destination 4 As string * 2'Value in Message Category 27 (Country)</v>
      </c>
    </row>
    <row r="165" spans="1:7" x14ac:dyDescent="0.25">
      <c r="A165" s="26"/>
      <c r="B165" s="27">
        <v>8</v>
      </c>
      <c r="C165" s="27" t="s">
        <v>246</v>
      </c>
      <c r="D165" s="27" t="s">
        <v>55</v>
      </c>
      <c r="E165" s="27">
        <v>2</v>
      </c>
      <c r="F165" s="28" t="s">
        <v>64</v>
      </c>
      <c r="G165" s="25" t="str">
        <f t="shared" si="2"/>
        <v>Dim pEvent Destination 5 As string * 2'Value in Message Category 27 (Country)</v>
      </c>
    </row>
    <row r="166" spans="1:7" x14ac:dyDescent="0.25">
      <c r="A166" s="26"/>
      <c r="B166" s="27">
        <v>9</v>
      </c>
      <c r="C166" s="27" t="s">
        <v>247</v>
      </c>
      <c r="D166" s="27" t="s">
        <v>55</v>
      </c>
      <c r="E166" s="27">
        <v>2</v>
      </c>
      <c r="F166" s="28" t="s">
        <v>64</v>
      </c>
      <c r="G166" s="25" t="str">
        <f t="shared" si="2"/>
        <v>Dim pEvent Destination 6 As string * 2'Value in Message Category 27 (Country)</v>
      </c>
    </row>
    <row r="167" spans="1:7" x14ac:dyDescent="0.25">
      <c r="A167" s="26"/>
      <c r="B167" s="27">
        <v>10</v>
      </c>
      <c r="C167" s="27" t="s">
        <v>248</v>
      </c>
      <c r="D167" s="27" t="s">
        <v>55</v>
      </c>
      <c r="E167" s="27">
        <v>2</v>
      </c>
      <c r="F167" s="28" t="s">
        <v>64</v>
      </c>
      <c r="G167" s="25" t="str">
        <f t="shared" si="2"/>
        <v>Dim pEvent Destination 7 As string * 2'Value in Message Category 27 (Country)</v>
      </c>
    </row>
    <row r="168" spans="1:7" x14ac:dyDescent="0.25">
      <c r="A168" s="29"/>
      <c r="B168" s="30">
        <v>11</v>
      </c>
      <c r="C168" s="30" t="s">
        <v>249</v>
      </c>
      <c r="D168" s="30" t="s">
        <v>55</v>
      </c>
      <c r="E168" s="30">
        <v>2</v>
      </c>
      <c r="F168" s="31" t="s">
        <v>64</v>
      </c>
      <c r="G168" s="25" t="str">
        <f t="shared" si="2"/>
        <v>Dim pEvent Destination 8 As string * 2'Value in Message Category 27 (Country)</v>
      </c>
    </row>
    <row r="170" spans="1:7" x14ac:dyDescent="0.25">
      <c r="A170" s="22" t="s">
        <v>250</v>
      </c>
      <c r="B170" s="23">
        <v>1</v>
      </c>
      <c r="C170" s="23" t="s">
        <v>48</v>
      </c>
      <c r="D170" s="23" t="s">
        <v>55</v>
      </c>
      <c r="E170" s="23">
        <v>25</v>
      </c>
      <c r="F170" s="24" t="s">
        <v>251</v>
      </c>
      <c r="G170" s="25" t="str">
        <f t="shared" si="2"/>
        <v>Dim pTag As string * 25'Must be 'PERSDEMO'</v>
      </c>
    </row>
    <row r="171" spans="1:7" x14ac:dyDescent="0.25">
      <c r="A171" s="26"/>
      <c r="B171" s="27">
        <v>2</v>
      </c>
      <c r="C171" s="27" t="s">
        <v>57</v>
      </c>
      <c r="D171" s="27" t="s">
        <v>55</v>
      </c>
      <c r="E171" s="27">
        <v>6</v>
      </c>
      <c r="F171" s="28" t="s">
        <v>58</v>
      </c>
      <c r="G171" s="25" t="str">
        <f t="shared" si="2"/>
        <v>Dim pNew or Update As string * 6'Must be 'new' or 'update'</v>
      </c>
    </row>
    <row r="172" spans="1:7" x14ac:dyDescent="0.25">
      <c r="A172" s="26"/>
      <c r="B172" s="27">
        <v>3</v>
      </c>
      <c r="C172" s="27" t="s">
        <v>71</v>
      </c>
      <c r="D172" s="27" t="s">
        <v>55</v>
      </c>
      <c r="E172" s="27">
        <v>9</v>
      </c>
      <c r="F172" s="28" t="s">
        <v>105</v>
      </c>
      <c r="G172" s="25" t="str">
        <f t="shared" si="2"/>
        <v>Dim pAccount ID As string * 9'May use macro representing account id.</v>
      </c>
    </row>
    <row r="173" spans="1:7" x14ac:dyDescent="0.25">
      <c r="A173" s="26"/>
      <c r="B173" s="27">
        <v>4</v>
      </c>
      <c r="C173" s="27" t="s">
        <v>252</v>
      </c>
      <c r="D173" s="27" t="s">
        <v>55</v>
      </c>
      <c r="E173" s="27">
        <v>2</v>
      </c>
      <c r="F173" s="28" t="s">
        <v>253</v>
      </c>
      <c r="G173" s="25" t="str">
        <f t="shared" si="2"/>
        <v>Dim pCall Preference Code As string * 2'Value in Message Category 15 (Prefer Callback)</v>
      </c>
    </row>
    <row r="174" spans="1:7" x14ac:dyDescent="0.25">
      <c r="A174" s="26"/>
      <c r="B174" s="27">
        <v>5</v>
      </c>
      <c r="C174" s="27" t="s">
        <v>254</v>
      </c>
      <c r="D174" s="27" t="s">
        <v>55</v>
      </c>
      <c r="E174" s="27">
        <v>2</v>
      </c>
      <c r="F174" s="28" t="s">
        <v>255</v>
      </c>
      <c r="G174" s="25" t="str">
        <f t="shared" si="2"/>
        <v>Dim pNationality Code As string * 2'Value in Message Category 6  (Nationality)</v>
      </c>
    </row>
    <row r="175" spans="1:7" x14ac:dyDescent="0.25">
      <c r="A175" s="26"/>
      <c r="B175" s="27">
        <v>6</v>
      </c>
      <c r="C175" s="27" t="s">
        <v>256</v>
      </c>
      <c r="D175" s="27" t="s">
        <v>55</v>
      </c>
      <c r="E175" s="27">
        <v>2</v>
      </c>
      <c r="F175" s="28" t="s">
        <v>257</v>
      </c>
      <c r="G175" s="25" t="str">
        <f t="shared" si="2"/>
        <v>Dim pRace Code As string * 2'Value in Message Category 7  (Race)</v>
      </c>
    </row>
    <row r="176" spans="1:7" x14ac:dyDescent="0.25">
      <c r="A176" s="26"/>
      <c r="B176" s="27">
        <v>7</v>
      </c>
      <c r="C176" s="27" t="s">
        <v>258</v>
      </c>
      <c r="D176" s="27" t="s">
        <v>55</v>
      </c>
      <c r="E176" s="27">
        <v>2</v>
      </c>
      <c r="F176" s="28" t="s">
        <v>259</v>
      </c>
      <c r="G176" s="25" t="str">
        <f t="shared" si="2"/>
        <v>Dim pReligion Code As string * 2'Value in Message Category 8  (Religion)</v>
      </c>
    </row>
    <row r="177" spans="1:7" x14ac:dyDescent="0.25">
      <c r="A177" s="26"/>
      <c r="B177" s="27">
        <v>8</v>
      </c>
      <c r="C177" s="27" t="s">
        <v>260</v>
      </c>
      <c r="D177" s="27" t="s">
        <v>55</v>
      </c>
      <c r="E177" s="27">
        <v>2</v>
      </c>
      <c r="F177" s="28" t="s">
        <v>261</v>
      </c>
      <c r="G177" s="25" t="str">
        <f t="shared" si="2"/>
        <v>Dim pEducation Code As string * 2'Value in Message Category 9  (Education)</v>
      </c>
    </row>
    <row r="178" spans="1:7" x14ac:dyDescent="0.25">
      <c r="A178" s="26"/>
      <c r="B178" s="27">
        <v>9</v>
      </c>
      <c r="C178" s="27" t="s">
        <v>262</v>
      </c>
      <c r="D178" s="27" t="s">
        <v>55</v>
      </c>
      <c r="E178" s="27">
        <v>2</v>
      </c>
      <c r="F178" s="28" t="s">
        <v>263</v>
      </c>
      <c r="G178" s="25" t="str">
        <f t="shared" si="2"/>
        <v>Dim pLanguage Code As string * 2'Value in Message Category 5  (Language)</v>
      </c>
    </row>
    <row r="179" spans="1:7" x14ac:dyDescent="0.25">
      <c r="A179" s="26"/>
      <c r="B179" s="27">
        <v>10</v>
      </c>
      <c r="C179" s="27" t="s">
        <v>264</v>
      </c>
      <c r="D179" s="27" t="s">
        <v>55</v>
      </c>
      <c r="E179" s="27">
        <v>5</v>
      </c>
      <c r="F179" s="28" t="s">
        <v>265</v>
      </c>
      <c r="G179" s="25" t="str">
        <f t="shared" si="2"/>
        <v>Dim pOccupation Code As string * 5'Value in Message Category 10 (Occupation)</v>
      </c>
    </row>
    <row r="180" spans="1:7" x14ac:dyDescent="0.25">
      <c r="A180" s="26"/>
      <c r="B180" s="27">
        <v>11</v>
      </c>
      <c r="C180" s="27" t="s">
        <v>266</v>
      </c>
      <c r="D180" s="27" t="s">
        <v>55</v>
      </c>
      <c r="E180" s="27">
        <v>3</v>
      </c>
      <c r="F180" s="28" t="s">
        <v>267</v>
      </c>
      <c r="G180" s="25" t="str">
        <f t="shared" si="2"/>
        <v>Dim pIndustry Code As string * 3'If present, must match IC2_INDSTRY_CD table.</v>
      </c>
    </row>
    <row r="181" spans="1:7" x14ac:dyDescent="0.25">
      <c r="A181" s="26"/>
      <c r="B181" s="27">
        <v>12</v>
      </c>
      <c r="C181" s="27" t="s">
        <v>268</v>
      </c>
      <c r="D181" s="27" t="s">
        <v>55</v>
      </c>
      <c r="E181" s="27">
        <v>2</v>
      </c>
      <c r="F181" s="28" t="s">
        <v>269</v>
      </c>
      <c r="G181" s="25" t="str">
        <f t="shared" si="2"/>
        <v>Dim pCredit Card Code 1 As string * 2'If present, must match IC2_CREDIT_CARD table.</v>
      </c>
    </row>
    <row r="182" spans="1:7" x14ac:dyDescent="0.25">
      <c r="A182" s="26"/>
      <c r="B182" s="27">
        <v>13</v>
      </c>
      <c r="C182" s="27" t="s">
        <v>270</v>
      </c>
      <c r="D182" s="27" t="s">
        <v>55</v>
      </c>
      <c r="E182" s="27">
        <v>2</v>
      </c>
      <c r="F182" s="28" t="s">
        <v>269</v>
      </c>
      <c r="G182" s="25" t="str">
        <f t="shared" si="2"/>
        <v>Dim pCredit Card Code 2 As string * 2'If present, must match IC2_CREDIT_CARD table.</v>
      </c>
    </row>
    <row r="183" spans="1:7" x14ac:dyDescent="0.25">
      <c r="A183" s="26"/>
      <c r="B183" s="27">
        <v>14</v>
      </c>
      <c r="C183" s="27" t="s">
        <v>271</v>
      </c>
      <c r="D183" s="27" t="s">
        <v>55</v>
      </c>
      <c r="E183" s="27">
        <v>2</v>
      </c>
      <c r="F183" s="28" t="s">
        <v>269</v>
      </c>
      <c r="G183" s="25" t="str">
        <f t="shared" si="2"/>
        <v>Dim pCredit Card Code 3 As string * 2'If present, must match IC2_CREDIT_CARD table.</v>
      </c>
    </row>
    <row r="184" spans="1:7" x14ac:dyDescent="0.25">
      <c r="A184" s="26"/>
      <c r="B184" s="27">
        <v>15</v>
      </c>
      <c r="C184" s="27" t="s">
        <v>272</v>
      </c>
      <c r="D184" s="27" t="s">
        <v>55</v>
      </c>
      <c r="E184" s="27">
        <v>2</v>
      </c>
      <c r="F184" s="28" t="s">
        <v>269</v>
      </c>
      <c r="G184" s="25" t="str">
        <f t="shared" si="2"/>
        <v>Dim pCredit Card Code 4 As string * 2'If present, must match IC2_CREDIT_CARD table.</v>
      </c>
    </row>
    <row r="185" spans="1:7" x14ac:dyDescent="0.25">
      <c r="A185" s="29"/>
      <c r="B185" s="30">
        <v>16</v>
      </c>
      <c r="C185" s="30" t="s">
        <v>273</v>
      </c>
      <c r="D185" s="30" t="s">
        <v>55</v>
      </c>
      <c r="E185" s="30">
        <v>2</v>
      </c>
      <c r="F185" s="31" t="s">
        <v>269</v>
      </c>
      <c r="G185" s="25" t="str">
        <f t="shared" si="2"/>
        <v>Dim pCredit Card Code 5 As string * 2'If present, must match IC2_CREDIT_CARD table.</v>
      </c>
    </row>
    <row r="187" spans="1:7" x14ac:dyDescent="0.25">
      <c r="A187" s="22" t="s">
        <v>274</v>
      </c>
      <c r="B187" s="23">
        <v>1</v>
      </c>
      <c r="C187" s="23" t="s">
        <v>48</v>
      </c>
      <c r="D187" s="23" t="s">
        <v>55</v>
      </c>
      <c r="E187" s="23">
        <v>25</v>
      </c>
      <c r="F187" s="24" t="s">
        <v>275</v>
      </c>
      <c r="G187" s="25" t="str">
        <f t="shared" si="2"/>
        <v>Dim pTag As string * 25'Must be 'POLICY'</v>
      </c>
    </row>
    <row r="188" spans="1:7" x14ac:dyDescent="0.25">
      <c r="A188" s="26"/>
      <c r="B188" s="27">
        <v>2</v>
      </c>
      <c r="C188" s="27" t="s">
        <v>57</v>
      </c>
      <c r="D188" s="27" t="s">
        <v>55</v>
      </c>
      <c r="E188" s="27">
        <v>6</v>
      </c>
      <c r="F188" s="28" t="s">
        <v>58</v>
      </c>
      <c r="G188" s="25" t="str">
        <f t="shared" si="2"/>
        <v>Dim pNew or Update As string * 6'Must be 'new' or 'update'</v>
      </c>
    </row>
    <row r="189" spans="1:7" ht="30" x14ac:dyDescent="0.25">
      <c r="A189" s="26"/>
      <c r="B189" s="27">
        <v>3</v>
      </c>
      <c r="C189" s="27" t="s">
        <v>276</v>
      </c>
      <c r="D189" s="27" t="s">
        <v>55</v>
      </c>
      <c r="E189" s="27">
        <v>2</v>
      </c>
      <c r="F189" s="28" t="s">
        <v>277</v>
      </c>
      <c r="G189" s="25" t="str">
        <f t="shared" si="2"/>
        <v>Dim pPayment Method Code As string * 2'Value in Message Category L6 (Payment Method).  Must match options for split in LJA_PAY_OPTIONS table.</v>
      </c>
    </row>
    <row r="190" spans="1:7" ht="30" x14ac:dyDescent="0.25">
      <c r="A190" s="26"/>
      <c r="B190" s="27">
        <v>4</v>
      </c>
      <c r="C190" s="27" t="s">
        <v>278</v>
      </c>
      <c r="D190" s="27" t="s">
        <v>55</v>
      </c>
      <c r="E190" s="27">
        <v>2</v>
      </c>
      <c r="F190" s="28" t="s">
        <v>279</v>
      </c>
      <c r="G190" s="25" t="str">
        <f t="shared" si="2"/>
        <v>Dim pPayment Frequency Code As string * 2'Value in Message Category L5 (Payment Frequency). Must match frequencies specified on LJA_SPLIT record.</v>
      </c>
    </row>
    <row r="191" spans="1:7" x14ac:dyDescent="0.25">
      <c r="A191" s="26"/>
      <c r="B191" s="27">
        <v>5</v>
      </c>
      <c r="C191" s="27" t="s">
        <v>280</v>
      </c>
      <c r="D191" s="27" t="s">
        <v>55</v>
      </c>
      <c r="E191" s="27">
        <v>20</v>
      </c>
      <c r="F191" s="28" t="s">
        <v>281</v>
      </c>
      <c r="G191" s="25" t="str">
        <f t="shared" si="2"/>
        <v>Dim pBill Account Number As string * 20'Required for Credit Card, GIRO and DDA payment methods.</v>
      </c>
    </row>
    <row r="192" spans="1:7" x14ac:dyDescent="0.25">
      <c r="A192" s="26"/>
      <c r="B192" s="27">
        <v>6</v>
      </c>
      <c r="C192" s="27" t="s">
        <v>282</v>
      </c>
      <c r="D192" s="27" t="s">
        <v>55</v>
      </c>
      <c r="E192" s="27">
        <v>5</v>
      </c>
      <c r="F192" s="28" t="s">
        <v>283</v>
      </c>
      <c r="G192" s="25" t="str">
        <f t="shared" si="2"/>
        <v>Dim pCredit Card Expiration As string * 5'If present, format as M/YY or MM/YY.</v>
      </c>
    </row>
    <row r="193" spans="1:7" x14ac:dyDescent="0.25">
      <c r="A193" s="26"/>
      <c r="B193" s="27">
        <v>7</v>
      </c>
      <c r="C193" s="27" t="s">
        <v>284</v>
      </c>
      <c r="D193" s="27" t="s">
        <v>55</v>
      </c>
      <c r="E193" s="27">
        <v>10</v>
      </c>
      <c r="F193" s="28" t="s">
        <v>285</v>
      </c>
      <c r="G193" s="25" t="str">
        <f t="shared" si="2"/>
        <v>Dim pBank Code As string * 10'For DDA, must match LJA_PAY_OPTIONS entry.</v>
      </c>
    </row>
    <row r="194" spans="1:7" x14ac:dyDescent="0.25">
      <c r="A194" s="26"/>
      <c r="B194" s="27">
        <v>8</v>
      </c>
      <c r="C194" s="27" t="s">
        <v>286</v>
      </c>
      <c r="D194" s="27" t="s">
        <v>55</v>
      </c>
      <c r="E194" s="27">
        <v>10</v>
      </c>
      <c r="F194" s="28"/>
      <c r="G194" s="25" t="str">
        <f t="shared" si="2"/>
        <v>Dim pBank Branch Code As string * 10'</v>
      </c>
    </row>
    <row r="195" spans="1:7" x14ac:dyDescent="0.25">
      <c r="A195" s="26"/>
      <c r="B195" s="27">
        <v>9</v>
      </c>
      <c r="C195" s="27" t="s">
        <v>287</v>
      </c>
      <c r="D195" s="27" t="s">
        <v>55</v>
      </c>
      <c r="E195" s="27">
        <v>2</v>
      </c>
      <c r="F195" s="28" t="s">
        <v>288</v>
      </c>
      <c r="G195" s="25" t="str">
        <f t="shared" ref="G195:G257" si="3">CONCATENATE("Dim p",C195," As ",D195," * ",E195,"'",F195)</f>
        <v>Dim pCredit Card Code As string * 2'If present, must match LJA_PAY_OPTIONS entry.</v>
      </c>
    </row>
    <row r="196" spans="1:7" x14ac:dyDescent="0.25">
      <c r="A196" s="26"/>
      <c r="B196" s="27">
        <v>10</v>
      </c>
      <c r="C196" s="27" t="s">
        <v>289</v>
      </c>
      <c r="D196" s="27" t="s">
        <v>55</v>
      </c>
      <c r="E196" s="27">
        <v>2</v>
      </c>
      <c r="F196" s="28" t="s">
        <v>290</v>
      </c>
      <c r="G196" s="25" t="str">
        <f t="shared" si="3"/>
        <v>Dim pTax Jurisdiction As string * 2'Must match available tax jurisdiciations (see taxrep).  Can be blank if none.</v>
      </c>
    </row>
    <row r="197" spans="1:7" x14ac:dyDescent="0.25">
      <c r="A197" s="26"/>
      <c r="B197" s="27">
        <v>11</v>
      </c>
      <c r="C197" s="27" t="s">
        <v>291</v>
      </c>
      <c r="D197" s="27" t="s">
        <v>292</v>
      </c>
      <c r="E197" s="27">
        <v>10</v>
      </c>
      <c r="F197" s="28"/>
      <c r="G197" s="25" t="str">
        <f t="shared" si="3"/>
        <v>Dim pMiscellaneous Info 1 As string   * 10'</v>
      </c>
    </row>
    <row r="198" spans="1:7" x14ac:dyDescent="0.25">
      <c r="A198" s="26"/>
      <c r="B198" s="27">
        <v>12</v>
      </c>
      <c r="C198" s="27" t="s">
        <v>293</v>
      </c>
      <c r="D198" s="27" t="s">
        <v>107</v>
      </c>
      <c r="E198" s="27">
        <v>10</v>
      </c>
      <c r="F198" s="28"/>
      <c r="G198" s="25" t="str">
        <f t="shared" si="3"/>
        <v>Dim pMiscellaneous Info 2 As string  * 10'</v>
      </c>
    </row>
    <row r="199" spans="1:7" x14ac:dyDescent="0.25">
      <c r="A199" s="26"/>
      <c r="B199" s="27">
        <v>13</v>
      </c>
      <c r="C199" s="27" t="s">
        <v>294</v>
      </c>
      <c r="D199" s="27" t="s">
        <v>107</v>
      </c>
      <c r="E199" s="27">
        <v>10</v>
      </c>
      <c r="F199" s="28"/>
      <c r="G199" s="25" t="str">
        <f t="shared" si="3"/>
        <v>Dim pMiscellaneous Info 3 As string  * 10'</v>
      </c>
    </row>
    <row r="200" spans="1:7" x14ac:dyDescent="0.25">
      <c r="A200" s="26"/>
      <c r="B200" s="27">
        <v>14</v>
      </c>
      <c r="C200" s="27" t="s">
        <v>295</v>
      </c>
      <c r="D200" s="27" t="s">
        <v>55</v>
      </c>
      <c r="E200" s="27">
        <v>50</v>
      </c>
      <c r="F200" s="28"/>
      <c r="G200" s="25" t="str">
        <f t="shared" si="3"/>
        <v>Dim pName on Billing As string * 50'</v>
      </c>
    </row>
    <row r="201" spans="1:7" ht="30" x14ac:dyDescent="0.25">
      <c r="A201" s="26"/>
      <c r="B201" s="27">
        <v>15</v>
      </c>
      <c r="C201" s="27" t="s">
        <v>296</v>
      </c>
      <c r="D201" s="27" t="s">
        <v>55</v>
      </c>
      <c r="E201" s="27">
        <v>2</v>
      </c>
      <c r="F201" s="28" t="s">
        <v>297</v>
      </c>
      <c r="G201" s="25" t="str">
        <f t="shared" si="3"/>
        <v>Dim pPresentation Currency As string * 2'For euro countries, specify the campaign currency or '99' (euro). Leave empty for non-euro countries. Defaults to campaign currency.</v>
      </c>
    </row>
    <row r="202" spans="1:7" ht="30" x14ac:dyDescent="0.25">
      <c r="A202" s="26"/>
      <c r="B202" s="27">
        <v>16</v>
      </c>
      <c r="C202" s="27" t="s">
        <v>298</v>
      </c>
      <c r="D202" s="27" t="s">
        <v>55</v>
      </c>
      <c r="E202" s="27">
        <v>3</v>
      </c>
      <c r="F202" s="28" t="s">
        <v>299</v>
      </c>
      <c r="G202" s="25" t="str">
        <f t="shared" si="3"/>
        <v>Dim pCollector Code As string * 3'This value will be set for bill method 10 and 20 by BOTL with default values for 30 thru 60.  Payroll will require an entry.</v>
      </c>
    </row>
    <row r="203" spans="1:7" x14ac:dyDescent="0.25">
      <c r="A203" s="29"/>
      <c r="B203" s="30">
        <v>17</v>
      </c>
      <c r="C203" s="30" t="s">
        <v>300</v>
      </c>
      <c r="D203" s="30" t="s">
        <v>55</v>
      </c>
      <c r="E203" s="30">
        <v>20</v>
      </c>
      <c r="F203" s="31" t="s">
        <v>301</v>
      </c>
      <c r="G203" s="25" t="str">
        <f t="shared" si="3"/>
        <v>Dim pEmployee Number As string * 20'Associated primarily with ESB policies</v>
      </c>
    </row>
    <row r="205" spans="1:7" x14ac:dyDescent="0.25">
      <c r="A205" s="22" t="s">
        <v>302</v>
      </c>
      <c r="B205" s="23">
        <v>1</v>
      </c>
      <c r="C205" s="23" t="s">
        <v>48</v>
      </c>
      <c r="D205" s="23" t="s">
        <v>55</v>
      </c>
      <c r="E205" s="23">
        <v>25</v>
      </c>
      <c r="F205" s="24" t="s">
        <v>303</v>
      </c>
      <c r="G205" s="25" t="str">
        <f t="shared" si="3"/>
        <v>Dim pTag As string * 25'Must be 'PREMCHECK'</v>
      </c>
    </row>
    <row r="206" spans="1:7" x14ac:dyDescent="0.25">
      <c r="A206" s="26"/>
      <c r="B206" s="27">
        <v>2</v>
      </c>
      <c r="C206" s="27" t="s">
        <v>304</v>
      </c>
      <c r="D206" s="27" t="s">
        <v>187</v>
      </c>
      <c r="E206" s="27">
        <v>14</v>
      </c>
      <c r="F206" s="28"/>
      <c r="G206" s="25" t="str">
        <f t="shared" si="3"/>
        <v>Dim pPremium Amount As double * 14'</v>
      </c>
    </row>
    <row r="207" spans="1:7" x14ac:dyDescent="0.25">
      <c r="A207" s="26"/>
      <c r="B207" s="27">
        <v>3</v>
      </c>
      <c r="C207" s="27" t="s">
        <v>305</v>
      </c>
      <c r="D207" s="27" t="s">
        <v>55</v>
      </c>
      <c r="E207" s="27">
        <v>7</v>
      </c>
      <c r="F207" s="28" t="s">
        <v>306</v>
      </c>
      <c r="G207" s="25" t="str">
        <f t="shared" si="3"/>
        <v>Dim pPremCheck Action As string * 7'Must be 'suspend' or 'error'. Defaults to 'suspend' if not provided.</v>
      </c>
    </row>
    <row r="208" spans="1:7" x14ac:dyDescent="0.25">
      <c r="A208" s="29"/>
      <c r="B208" s="30">
        <v>4</v>
      </c>
      <c r="C208" s="30" t="s">
        <v>307</v>
      </c>
      <c r="D208" s="30" t="s">
        <v>55</v>
      </c>
      <c r="E208" s="30">
        <v>5</v>
      </c>
      <c r="F208" s="31" t="s">
        <v>308</v>
      </c>
      <c r="G208" s="25" t="str">
        <f t="shared" si="3"/>
        <v>Dim pPremCheck Tax Indicator As string * 5'Must be 'tax' or 'notax'. Defaults to 'notax' if not provided.</v>
      </c>
    </row>
    <row r="210" spans="1:7" x14ac:dyDescent="0.25">
      <c r="A210" s="22" t="s">
        <v>309</v>
      </c>
      <c r="B210" s="23">
        <v>1</v>
      </c>
      <c r="C210" s="23" t="s">
        <v>48</v>
      </c>
      <c r="D210" s="23" t="s">
        <v>55</v>
      </c>
      <c r="E210" s="23">
        <v>25</v>
      </c>
      <c r="F210" s="24" t="s">
        <v>310</v>
      </c>
      <c r="G210" s="25" t="str">
        <f t="shared" si="3"/>
        <v>Dim pTag As string * 25'Must be 'PROD_DATA'</v>
      </c>
    </row>
    <row r="211" spans="1:7" x14ac:dyDescent="0.25">
      <c r="A211" s="26"/>
      <c r="B211" s="27">
        <v>2</v>
      </c>
      <c r="C211" s="27" t="s">
        <v>104</v>
      </c>
      <c r="D211" s="27" t="s">
        <v>55</v>
      </c>
      <c r="E211" s="27">
        <v>6</v>
      </c>
      <c r="F211" s="28"/>
      <c r="G211" s="25" t="str">
        <f t="shared" si="3"/>
        <v>Dim pProduct ID As string * 6'</v>
      </c>
    </row>
    <row r="212" spans="1:7" x14ac:dyDescent="0.25">
      <c r="A212" s="26"/>
      <c r="B212" s="27">
        <v>3</v>
      </c>
      <c r="C212" s="27" t="s">
        <v>71</v>
      </c>
      <c r="D212" s="27" t="s">
        <v>55</v>
      </c>
      <c r="E212" s="27">
        <v>9</v>
      </c>
      <c r="F212" s="28" t="s">
        <v>311</v>
      </c>
      <c r="G212" s="25" t="str">
        <f t="shared" si="3"/>
        <v>Dim pAccount ID As string * 9'Is needed when specific data collected at insured level; otherwise use a space or macro.</v>
      </c>
    </row>
    <row r="213" spans="1:7" x14ac:dyDescent="0.25">
      <c r="A213" s="26"/>
      <c r="B213" s="27">
        <v>4</v>
      </c>
      <c r="C213" s="27" t="s">
        <v>312</v>
      </c>
      <c r="D213" s="27" t="s">
        <v>60</v>
      </c>
      <c r="E213" s="27">
        <v>10</v>
      </c>
      <c r="F213" s="28" t="s">
        <v>313</v>
      </c>
      <c r="G213" s="25" t="str">
        <f t="shared" si="3"/>
        <v>Dim pCounter As integer * 10'May only contain a 1 if product only permits one data collection per product/insured.</v>
      </c>
    </row>
    <row r="214" spans="1:7" ht="17.25" customHeight="1" x14ac:dyDescent="0.25">
      <c r="A214" s="29"/>
      <c r="B214" s="30">
        <v>5</v>
      </c>
      <c r="C214" s="30" t="s">
        <v>314</v>
      </c>
      <c r="D214" s="30" t="s">
        <v>55</v>
      </c>
      <c r="E214" s="30">
        <v>280</v>
      </c>
      <c r="F214" s="31" t="s">
        <v>315</v>
      </c>
      <c r="G214" s="25" t="str">
        <f t="shared" si="3"/>
        <v>Dim pCodes and Data As string * 280'Contains msg codes and specific data values in |aa,ERICSSON!ab,RX292!ac,ABC12345| format</v>
      </c>
    </row>
    <row r="216" spans="1:7" x14ac:dyDescent="0.25">
      <c r="A216" s="22" t="s">
        <v>316</v>
      </c>
      <c r="B216" s="23">
        <v>1</v>
      </c>
      <c r="C216" s="23" t="s">
        <v>48</v>
      </c>
      <c r="D216" s="23" t="s">
        <v>55</v>
      </c>
      <c r="E216" s="23">
        <v>25</v>
      </c>
      <c r="F216" s="24" t="s">
        <v>317</v>
      </c>
      <c r="G216" s="25" t="str">
        <f t="shared" si="3"/>
        <v>Dim pTag As string * 25'Must be 'PRODUCT'</v>
      </c>
    </row>
    <row r="217" spans="1:7" x14ac:dyDescent="0.25">
      <c r="A217" s="26"/>
      <c r="B217" s="27">
        <v>2</v>
      </c>
      <c r="C217" s="27" t="s">
        <v>57</v>
      </c>
      <c r="D217" s="27" t="s">
        <v>55</v>
      </c>
      <c r="E217" s="27">
        <v>6</v>
      </c>
      <c r="F217" s="28" t="s">
        <v>58</v>
      </c>
      <c r="G217" s="25" t="str">
        <f t="shared" si="3"/>
        <v>Dim pNew or Update As string * 6'Must be 'new' or 'update'</v>
      </c>
    </row>
    <row r="218" spans="1:7" x14ac:dyDescent="0.25">
      <c r="A218" s="26"/>
      <c r="B218" s="27">
        <v>3</v>
      </c>
      <c r="C218" s="27" t="s">
        <v>104</v>
      </c>
      <c r="D218" s="27" t="s">
        <v>55</v>
      </c>
      <c r="E218" s="27">
        <v>6</v>
      </c>
      <c r="F218" s="28"/>
      <c r="G218" s="25" t="str">
        <f t="shared" si="3"/>
        <v>Dim pProduct ID As string * 6'</v>
      </c>
    </row>
    <row r="219" spans="1:7" x14ac:dyDescent="0.25">
      <c r="A219" s="26"/>
      <c r="B219" s="27">
        <v>4</v>
      </c>
      <c r="C219" s="27" t="s">
        <v>318</v>
      </c>
      <c r="D219" s="27" t="s">
        <v>55</v>
      </c>
      <c r="E219" s="27">
        <v>2</v>
      </c>
      <c r="F219" s="28" t="s">
        <v>319</v>
      </c>
      <c r="G219" s="25" t="str">
        <f t="shared" si="3"/>
        <v>Dim pCoverage Type Code As string * 2'Who is covered - one of MO,MS,MF,MD,SO,SD,DO</v>
      </c>
    </row>
    <row r="220" spans="1:7" x14ac:dyDescent="0.25">
      <c r="A220" s="26"/>
      <c r="B220" s="27">
        <v>5</v>
      </c>
      <c r="C220" s="27" t="s">
        <v>320</v>
      </c>
      <c r="D220" s="27" t="s">
        <v>55</v>
      </c>
      <c r="E220" s="27">
        <v>1</v>
      </c>
      <c r="F220" s="28" t="s">
        <v>321</v>
      </c>
      <c r="G220" s="25" t="str">
        <f t="shared" si="3"/>
        <v>Dim pGroup Benefit Level As string * 1'For group rated product only. Must be level allowed by PM product definition.</v>
      </c>
    </row>
    <row r="221" spans="1:7" x14ac:dyDescent="0.25">
      <c r="A221" s="26"/>
      <c r="B221" s="27">
        <v>6</v>
      </c>
      <c r="C221" s="27" t="s">
        <v>322</v>
      </c>
      <c r="D221" s="27" t="s">
        <v>60</v>
      </c>
      <c r="E221" s="27">
        <v>5</v>
      </c>
      <c r="F221" s="28"/>
      <c r="G221" s="25" t="str">
        <f t="shared" si="3"/>
        <v>Dim pNumber of Eligible Dependents As integer * 5'</v>
      </c>
    </row>
    <row r="222" spans="1:7" x14ac:dyDescent="0.25">
      <c r="A222" s="26"/>
      <c r="B222" s="27">
        <v>7</v>
      </c>
      <c r="C222" s="27" t="s">
        <v>189</v>
      </c>
      <c r="D222" s="27" t="s">
        <v>55</v>
      </c>
      <c r="E222" s="27">
        <v>2</v>
      </c>
      <c r="F222" s="28" t="s">
        <v>323</v>
      </c>
      <c r="G222" s="25" t="str">
        <f t="shared" si="3"/>
        <v>Dim pRating Factor 1 As string * 2'For group rated product only. Must match PM product rating factor 1.</v>
      </c>
    </row>
    <row r="223" spans="1:7" x14ac:dyDescent="0.25">
      <c r="A223" s="26"/>
      <c r="B223" s="27">
        <v>8</v>
      </c>
      <c r="C223" s="27" t="s">
        <v>191</v>
      </c>
      <c r="D223" s="27" t="s">
        <v>55</v>
      </c>
      <c r="E223" s="27">
        <v>2</v>
      </c>
      <c r="F223" s="28" t="s">
        <v>324</v>
      </c>
      <c r="G223" s="25" t="str">
        <f t="shared" si="3"/>
        <v>Dim pRating Factor 2 As string * 2'For group rated product only. Must match PM product rating factor 2.</v>
      </c>
    </row>
    <row r="224" spans="1:7" x14ac:dyDescent="0.25">
      <c r="A224" s="26"/>
      <c r="B224" s="27">
        <v>9</v>
      </c>
      <c r="C224" s="27" t="s">
        <v>193</v>
      </c>
      <c r="D224" s="27" t="s">
        <v>55</v>
      </c>
      <c r="E224" s="27">
        <v>2</v>
      </c>
      <c r="F224" s="28" t="s">
        <v>325</v>
      </c>
      <c r="G224" s="25" t="str">
        <f t="shared" si="3"/>
        <v>Dim pRating Factor 3 As string * 2'For group rated product only. Must match PM product rating factor 3.</v>
      </c>
    </row>
    <row r="225" spans="1:7" x14ac:dyDescent="0.25">
      <c r="A225" s="26"/>
      <c r="B225" s="27">
        <v>10</v>
      </c>
      <c r="C225" s="27" t="s">
        <v>195</v>
      </c>
      <c r="D225" s="27" t="s">
        <v>55</v>
      </c>
      <c r="E225" s="27">
        <v>2</v>
      </c>
      <c r="F225" s="28" t="s">
        <v>326</v>
      </c>
      <c r="G225" s="25" t="str">
        <f t="shared" si="3"/>
        <v>Dim pRating Factor 4 As string * 2'For group rated product only. Must match PM product rating factor 4.</v>
      </c>
    </row>
    <row r="226" spans="1:7" x14ac:dyDescent="0.25">
      <c r="A226" s="26"/>
      <c r="B226" s="27">
        <v>11</v>
      </c>
      <c r="C226" s="27" t="s">
        <v>197</v>
      </c>
      <c r="D226" s="27" t="s">
        <v>55</v>
      </c>
      <c r="E226" s="27">
        <v>2</v>
      </c>
      <c r="F226" s="28" t="s">
        <v>327</v>
      </c>
      <c r="G226" s="25" t="str">
        <f t="shared" si="3"/>
        <v>Dim pRating Factor 5 As string * 2'For group rated product only. Must match PM product rating factor 5.</v>
      </c>
    </row>
    <row r="227" spans="1:7" x14ac:dyDescent="0.25">
      <c r="A227" s="26"/>
      <c r="B227" s="27">
        <v>12</v>
      </c>
      <c r="C227" s="27" t="s">
        <v>199</v>
      </c>
      <c r="D227" s="27" t="s">
        <v>55</v>
      </c>
      <c r="E227" s="27">
        <v>2</v>
      </c>
      <c r="F227" s="28" t="s">
        <v>328</v>
      </c>
      <c r="G227" s="25" t="str">
        <f t="shared" si="3"/>
        <v>Dim pRating Factor 6 As string * 2'For group rated product only. Must match PM product rating factor 6.</v>
      </c>
    </row>
    <row r="228" spans="1:7" x14ac:dyDescent="0.25">
      <c r="A228" s="26"/>
      <c r="B228" s="27">
        <v>13</v>
      </c>
      <c r="C228" s="27" t="s">
        <v>201</v>
      </c>
      <c r="D228" s="27" t="s">
        <v>55</v>
      </c>
      <c r="E228" s="27">
        <v>2</v>
      </c>
      <c r="F228" s="28" t="s">
        <v>329</v>
      </c>
      <c r="G228" s="25" t="str">
        <f t="shared" si="3"/>
        <v>Dim pRating Factor 7 As string * 2'For group rated product only. Must match PM product rating factor 7.</v>
      </c>
    </row>
    <row r="229" spans="1:7" x14ac:dyDescent="0.25">
      <c r="A229" s="26"/>
      <c r="B229" s="27">
        <v>14</v>
      </c>
      <c r="C229" s="27" t="s">
        <v>203</v>
      </c>
      <c r="D229" s="27" t="s">
        <v>55</v>
      </c>
      <c r="E229" s="27">
        <v>2</v>
      </c>
      <c r="F229" s="28" t="s">
        <v>330</v>
      </c>
      <c r="G229" s="25" t="str">
        <f t="shared" si="3"/>
        <v>Dim pRating Factor 8 As string * 2'For group rated product only. Must match PM product rating factor 8.</v>
      </c>
    </row>
    <row r="230" spans="1:7" x14ac:dyDescent="0.25">
      <c r="A230" s="26"/>
      <c r="B230" s="27">
        <v>15</v>
      </c>
      <c r="C230" s="27" t="s">
        <v>186</v>
      </c>
      <c r="D230" s="27" t="s">
        <v>187</v>
      </c>
      <c r="E230" s="27">
        <v>12</v>
      </c>
      <c r="F230" s="28" t="s">
        <v>331</v>
      </c>
      <c r="G230" s="25" t="str">
        <f t="shared" si="3"/>
        <v>Dim pBenefit Units As double * 12'For group rated product only. Must be in PM product units range.</v>
      </c>
    </row>
    <row r="231" spans="1:7" x14ac:dyDescent="0.25">
      <c r="A231" s="26"/>
      <c r="B231" s="27">
        <v>16</v>
      </c>
      <c r="C231" s="27" t="s">
        <v>332</v>
      </c>
      <c r="D231" s="27" t="s">
        <v>55</v>
      </c>
      <c r="E231" s="27">
        <v>2</v>
      </c>
      <c r="F231" s="28" t="s">
        <v>333</v>
      </c>
      <c r="G231" s="25" t="str">
        <f t="shared" si="3"/>
        <v>Dim pTax Exclusion Code As string * 2'Value in Message Category SE (S6 Tax Exclusion Reasons)</v>
      </c>
    </row>
    <row r="232" spans="1:7" x14ac:dyDescent="0.25">
      <c r="A232" s="26"/>
      <c r="B232" s="27">
        <v>17</v>
      </c>
      <c r="C232" s="27" t="s">
        <v>334</v>
      </c>
      <c r="D232" s="27" t="s">
        <v>187</v>
      </c>
      <c r="E232" s="27">
        <v>15</v>
      </c>
      <c r="F232" s="28"/>
      <c r="G232" s="25" t="str">
        <f t="shared" si="3"/>
        <v>Dim pPremium Override Amount As double * 15'</v>
      </c>
    </row>
    <row r="233" spans="1:7" x14ac:dyDescent="0.25">
      <c r="A233" s="26"/>
      <c r="B233" s="27">
        <v>18</v>
      </c>
      <c r="C233" s="27" t="s">
        <v>335</v>
      </c>
      <c r="D233" s="27" t="s">
        <v>87</v>
      </c>
      <c r="E233" s="27">
        <v>10</v>
      </c>
      <c r="F233" s="28"/>
      <c r="G233" s="25" t="str">
        <f t="shared" si="3"/>
        <v>Dim pPremium Override Expire As date * 10'</v>
      </c>
    </row>
    <row r="234" spans="1:7" x14ac:dyDescent="0.25">
      <c r="A234" s="26"/>
      <c r="B234" s="27">
        <v>19</v>
      </c>
      <c r="C234" s="27" t="s">
        <v>336</v>
      </c>
      <c r="D234" s="27" t="s">
        <v>55</v>
      </c>
      <c r="E234" s="27">
        <v>2</v>
      </c>
      <c r="F234" s="28" t="s">
        <v>337</v>
      </c>
      <c r="G234" s="25" t="str">
        <f t="shared" si="3"/>
        <v>Dim pPremium Override Reason As string * 2'Value in Message Category SW (S6 Premium Override Reasons)</v>
      </c>
    </row>
    <row r="235" spans="1:7" x14ac:dyDescent="0.25">
      <c r="A235" s="26"/>
      <c r="B235" s="27">
        <v>20</v>
      </c>
      <c r="C235" s="27" t="s">
        <v>205</v>
      </c>
      <c r="D235" s="27" t="s">
        <v>55</v>
      </c>
      <c r="E235" s="27">
        <v>2</v>
      </c>
      <c r="F235" s="28" t="s">
        <v>338</v>
      </c>
      <c r="G235" s="25" t="str">
        <f t="shared" si="3"/>
        <v>Dim pBenefit Rating Factor 1 As string * 2'For group rated product only. Must match PM product benefit rating factor 1.</v>
      </c>
    </row>
    <row r="236" spans="1:7" x14ac:dyDescent="0.25">
      <c r="A236" s="26"/>
      <c r="B236" s="27">
        <v>21</v>
      </c>
      <c r="C236" s="27" t="s">
        <v>207</v>
      </c>
      <c r="D236" s="27" t="s">
        <v>55</v>
      </c>
      <c r="E236" s="27">
        <v>2</v>
      </c>
      <c r="F236" s="28" t="s">
        <v>339</v>
      </c>
      <c r="G236" s="25" t="str">
        <f t="shared" si="3"/>
        <v>Dim pBenefit Rating Factor 2 As string * 2'For group rated product only. Must match PM product benefit rating factor 2.</v>
      </c>
    </row>
    <row r="237" spans="1:7" x14ac:dyDescent="0.25">
      <c r="A237" s="26"/>
      <c r="B237" s="27">
        <v>22</v>
      </c>
      <c r="C237" s="27" t="s">
        <v>209</v>
      </c>
      <c r="D237" s="27" t="s">
        <v>55</v>
      </c>
      <c r="E237" s="27">
        <v>2</v>
      </c>
      <c r="F237" s="28" t="s">
        <v>340</v>
      </c>
      <c r="G237" s="25" t="str">
        <f t="shared" si="3"/>
        <v>Dim pBenefit Rating Factor 3 As string * 2'For group rated product only. Must match PM product benefit rating factor 3.</v>
      </c>
    </row>
    <row r="238" spans="1:7" x14ac:dyDescent="0.25">
      <c r="A238" s="26"/>
      <c r="B238" s="27">
        <v>23</v>
      </c>
      <c r="C238" s="27" t="s">
        <v>211</v>
      </c>
      <c r="D238" s="27" t="s">
        <v>55</v>
      </c>
      <c r="E238" s="27">
        <v>2</v>
      </c>
      <c r="F238" s="28" t="s">
        <v>341</v>
      </c>
      <c r="G238" s="25" t="str">
        <f t="shared" si="3"/>
        <v>Dim pBenefit Rating Factor 4 As string * 2'For group rated product only. Must match PM product benefit rating factor 4.</v>
      </c>
    </row>
    <row r="239" spans="1:7" x14ac:dyDescent="0.25">
      <c r="A239" s="26"/>
      <c r="B239" s="27">
        <v>24</v>
      </c>
      <c r="C239" s="27" t="s">
        <v>213</v>
      </c>
      <c r="D239" s="27" t="s">
        <v>55</v>
      </c>
      <c r="E239" s="27">
        <v>2</v>
      </c>
      <c r="F239" s="28" t="s">
        <v>342</v>
      </c>
      <c r="G239" s="25" t="str">
        <f t="shared" si="3"/>
        <v>Dim pBenefit Rating Factor 5 As string * 2'For group rated product only. Must match PM product benefit rating factor 5.</v>
      </c>
    </row>
    <row r="240" spans="1:7" x14ac:dyDescent="0.25">
      <c r="A240" s="26"/>
      <c r="B240" s="27">
        <v>25</v>
      </c>
      <c r="C240" s="27" t="s">
        <v>215</v>
      </c>
      <c r="D240" s="27" t="s">
        <v>55</v>
      </c>
      <c r="E240" s="27">
        <v>2</v>
      </c>
      <c r="F240" s="28" t="s">
        <v>343</v>
      </c>
      <c r="G240" s="25" t="str">
        <f t="shared" si="3"/>
        <v>Dim pBenefit Rating Factor 6 As string * 2'For group rated product only. Must match PM product benefit rating factor 6.</v>
      </c>
    </row>
    <row r="241" spans="1:7" x14ac:dyDescent="0.25">
      <c r="A241" s="26"/>
      <c r="B241" s="27">
        <v>26</v>
      </c>
      <c r="C241" s="27" t="s">
        <v>217</v>
      </c>
      <c r="D241" s="27" t="s">
        <v>55</v>
      </c>
      <c r="E241" s="27">
        <v>2</v>
      </c>
      <c r="F241" s="28" t="s">
        <v>344</v>
      </c>
      <c r="G241" s="25" t="str">
        <f t="shared" si="3"/>
        <v>Dim pBenefit Rating Factor 7 As string * 2'For group rated product only. Must match PM product benefit rating factor 7.</v>
      </c>
    </row>
    <row r="242" spans="1:7" x14ac:dyDescent="0.25">
      <c r="A242" s="29"/>
      <c r="B242" s="30">
        <v>27</v>
      </c>
      <c r="C242" s="30" t="s">
        <v>219</v>
      </c>
      <c r="D242" s="30" t="s">
        <v>55</v>
      </c>
      <c r="E242" s="30">
        <v>2</v>
      </c>
      <c r="F242" s="31" t="s">
        <v>345</v>
      </c>
      <c r="G242" s="25" t="str">
        <f t="shared" si="3"/>
        <v>Dim pBenefit Rating Factor 8 As string * 2'For group rated product only. Must match PM product benefit rating factor 8.</v>
      </c>
    </row>
    <row r="244" spans="1:7" x14ac:dyDescent="0.25">
      <c r="A244" s="22" t="s">
        <v>346</v>
      </c>
      <c r="B244" s="23">
        <v>1</v>
      </c>
      <c r="C244" s="23" t="s">
        <v>48</v>
      </c>
      <c r="D244" s="23" t="s">
        <v>55</v>
      </c>
      <c r="E244" s="23">
        <v>25</v>
      </c>
      <c r="F244" s="24" t="s">
        <v>347</v>
      </c>
      <c r="G244" s="25" t="str">
        <f t="shared" si="3"/>
        <v>Dim pTag As string * 25'Must be 'PRODUCT_REMOVE'</v>
      </c>
    </row>
    <row r="245" spans="1:7" x14ac:dyDescent="0.25">
      <c r="A245" s="29"/>
      <c r="B245" s="30">
        <v>2</v>
      </c>
      <c r="C245" s="30" t="s">
        <v>104</v>
      </c>
      <c r="D245" s="30" t="s">
        <v>55</v>
      </c>
      <c r="E245" s="30">
        <v>6</v>
      </c>
      <c r="F245" s="31"/>
      <c r="G245" s="25" t="str">
        <f t="shared" si="3"/>
        <v>Dim pProduct ID As string * 6'</v>
      </c>
    </row>
    <row r="247" spans="1:7" x14ac:dyDescent="0.25">
      <c r="A247" s="22" t="s">
        <v>348</v>
      </c>
      <c r="B247" s="23">
        <v>1</v>
      </c>
      <c r="C247" s="23" t="s">
        <v>48</v>
      </c>
      <c r="D247" s="23" t="s">
        <v>55</v>
      </c>
      <c r="E247" s="23">
        <v>25</v>
      </c>
      <c r="F247" s="24" t="s">
        <v>349</v>
      </c>
      <c r="G247" s="25" t="str">
        <f t="shared" si="3"/>
        <v>Dim pTag As string * 25'Must be 'PROSREF'</v>
      </c>
    </row>
    <row r="248" spans="1:7" x14ac:dyDescent="0.25">
      <c r="A248" s="26"/>
      <c r="B248" s="27">
        <v>2</v>
      </c>
      <c r="C248" s="27" t="s">
        <v>57</v>
      </c>
      <c r="D248" s="27" t="s">
        <v>55</v>
      </c>
      <c r="E248" s="27">
        <v>6</v>
      </c>
      <c r="F248" s="28" t="s">
        <v>58</v>
      </c>
      <c r="G248" s="25" t="str">
        <f t="shared" si="3"/>
        <v>Dim pNew or Update As string * 6'Must be 'new' or 'update'</v>
      </c>
    </row>
    <row r="249" spans="1:7" x14ac:dyDescent="0.25">
      <c r="A249" s="26"/>
      <c r="B249" s="27">
        <v>3</v>
      </c>
      <c r="C249" s="27" t="s">
        <v>350</v>
      </c>
      <c r="D249" s="27" t="s">
        <v>55</v>
      </c>
      <c r="E249" s="27">
        <v>30</v>
      </c>
      <c r="F249" s="28"/>
      <c r="G249" s="25" t="str">
        <f t="shared" si="3"/>
        <v>Dim pProspect Reference As string * 30'</v>
      </c>
    </row>
    <row r="250" spans="1:7" x14ac:dyDescent="0.25">
      <c r="A250" s="29"/>
      <c r="B250" s="30">
        <v>4</v>
      </c>
      <c r="C250" s="30" t="s">
        <v>351</v>
      </c>
      <c r="D250" s="30" t="s">
        <v>55</v>
      </c>
      <c r="E250" s="30">
        <v>15</v>
      </c>
      <c r="F250" s="31"/>
      <c r="G250" s="25" t="str">
        <f t="shared" si="3"/>
        <v>Dim pPolicy ID As string * 15'</v>
      </c>
    </row>
    <row r="252" spans="1:7" x14ac:dyDescent="0.25">
      <c r="A252" s="22" t="s">
        <v>352</v>
      </c>
      <c r="B252" s="23">
        <v>1</v>
      </c>
      <c r="C252" s="23" t="s">
        <v>48</v>
      </c>
      <c r="D252" s="23" t="s">
        <v>55</v>
      </c>
      <c r="E252" s="23">
        <v>25</v>
      </c>
      <c r="F252" s="24" t="s">
        <v>353</v>
      </c>
      <c r="G252" s="25" t="str">
        <f t="shared" si="3"/>
        <v>Dim pTag As string * 25'Must be 'PURGE'</v>
      </c>
    </row>
    <row r="253" spans="1:7" x14ac:dyDescent="0.25">
      <c r="A253" s="29"/>
      <c r="B253" s="30">
        <v>2</v>
      </c>
      <c r="C253" s="30" t="s">
        <v>71</v>
      </c>
      <c r="D253" s="30" t="s">
        <v>55</v>
      </c>
      <c r="E253" s="30">
        <v>9</v>
      </c>
      <c r="F253" s="31" t="s">
        <v>354</v>
      </c>
      <c r="G253" s="25" t="str">
        <f t="shared" si="3"/>
        <v>Dim pAccount ID As string * 9'Corresponds to account id that we're deleting.</v>
      </c>
    </row>
    <row r="255" spans="1:7" x14ac:dyDescent="0.25">
      <c r="A255" s="22" t="s">
        <v>355</v>
      </c>
      <c r="B255" s="23">
        <v>1</v>
      </c>
      <c r="C255" s="23" t="s">
        <v>48</v>
      </c>
      <c r="D255" s="23" t="s">
        <v>55</v>
      </c>
      <c r="E255" s="23">
        <v>25</v>
      </c>
      <c r="F255" s="24" t="s">
        <v>356</v>
      </c>
      <c r="G255" s="25" t="str">
        <f t="shared" si="3"/>
        <v>Dim pTag As string * 25'Must be 'SENSITIVITY'</v>
      </c>
    </row>
    <row r="256" spans="1:7" x14ac:dyDescent="0.25">
      <c r="A256" s="26"/>
      <c r="B256" s="27">
        <v>2</v>
      </c>
      <c r="C256" s="27" t="s">
        <v>71</v>
      </c>
      <c r="D256" s="27" t="s">
        <v>55</v>
      </c>
      <c r="E256" s="27">
        <v>9</v>
      </c>
      <c r="F256" s="28" t="s">
        <v>105</v>
      </c>
      <c r="G256" s="25" t="str">
        <f t="shared" si="3"/>
        <v>Dim pAccount ID As string * 9'May use macro representing account id.</v>
      </c>
    </row>
    <row r="257" spans="1:7" x14ac:dyDescent="0.25">
      <c r="A257" s="29"/>
      <c r="B257" s="30">
        <v>3</v>
      </c>
      <c r="C257" s="30" t="s">
        <v>357</v>
      </c>
      <c r="D257" s="30" t="s">
        <v>55</v>
      </c>
      <c r="E257" s="30">
        <v>2</v>
      </c>
      <c r="F257" s="31" t="s">
        <v>358</v>
      </c>
      <c r="G257" s="25" t="str">
        <f t="shared" si="3"/>
        <v>Dim pSensitivity Code As string * 2'Value in Message Category 42 (Sensitivity Code)</v>
      </c>
    </row>
    <row r="259" spans="1:7" x14ac:dyDescent="0.25">
      <c r="A259" s="22" t="s">
        <v>359</v>
      </c>
      <c r="B259" s="23">
        <v>1</v>
      </c>
      <c r="C259" s="23" t="s">
        <v>48</v>
      </c>
      <c r="D259" s="23" t="s">
        <v>55</v>
      </c>
      <c r="E259" s="23">
        <v>25</v>
      </c>
      <c r="F259" s="24" t="s">
        <v>360</v>
      </c>
      <c r="G259" s="25" t="str">
        <f t="shared" ref="G259:G321" si="4">CONCATENATE("Dim p",C259," As ",D259," * ",E259,"'",F259)</f>
        <v>Dim pTag As string * 25'Must be 'SUPPRESS'</v>
      </c>
    </row>
    <row r="260" spans="1:7" x14ac:dyDescent="0.25">
      <c r="A260" s="26"/>
      <c r="B260" s="27">
        <v>2</v>
      </c>
      <c r="C260" s="27" t="s">
        <v>71</v>
      </c>
      <c r="D260" s="27" t="s">
        <v>55</v>
      </c>
      <c r="E260" s="27">
        <v>9</v>
      </c>
      <c r="F260" s="28" t="s">
        <v>105</v>
      </c>
      <c r="G260" s="25" t="str">
        <f t="shared" si="4"/>
        <v>Dim pAccount ID As string * 9'May use macro representing account id.</v>
      </c>
    </row>
    <row r="261" spans="1:7" x14ac:dyDescent="0.25">
      <c r="A261" s="26"/>
      <c r="B261" s="27">
        <v>3</v>
      </c>
      <c r="C261" s="27" t="s">
        <v>361</v>
      </c>
      <c r="D261" s="27" t="s">
        <v>87</v>
      </c>
      <c r="E261" s="27">
        <v>10</v>
      </c>
      <c r="F261" s="28"/>
      <c r="G261" s="25" t="str">
        <f t="shared" si="4"/>
        <v>Dim pEffective Date As date * 10'</v>
      </c>
    </row>
    <row r="262" spans="1:7" x14ac:dyDescent="0.25">
      <c r="A262" s="29"/>
      <c r="B262" s="30">
        <v>4</v>
      </c>
      <c r="C262" s="30" t="s">
        <v>362</v>
      </c>
      <c r="D262" s="30" t="s">
        <v>55</v>
      </c>
      <c r="E262" s="30">
        <v>2</v>
      </c>
      <c r="F262" s="31" t="s">
        <v>363</v>
      </c>
      <c r="G262" s="25" t="str">
        <f t="shared" si="4"/>
        <v>Dim pReason As string * 2'Value in Message Category 37 (Suppression Code)</v>
      </c>
    </row>
    <row r="264" spans="1:7" x14ac:dyDescent="0.25">
      <c r="A264" s="22" t="s">
        <v>364</v>
      </c>
      <c r="B264" s="23">
        <v>1</v>
      </c>
      <c r="C264" s="23" t="s">
        <v>48</v>
      </c>
      <c r="D264" s="23" t="s">
        <v>55</v>
      </c>
      <c r="E264" s="23">
        <v>25</v>
      </c>
      <c r="F264" s="24" t="s">
        <v>365</v>
      </c>
      <c r="G264" s="25" t="str">
        <f t="shared" si="4"/>
        <v>Dim pTag As string * 25'Must be 'TRANACT'</v>
      </c>
    </row>
    <row r="265" spans="1:7" x14ac:dyDescent="0.25">
      <c r="A265" s="26"/>
      <c r="B265" s="27">
        <v>2</v>
      </c>
      <c r="C265" s="27" t="s">
        <v>366</v>
      </c>
      <c r="D265" s="27" t="s">
        <v>55</v>
      </c>
      <c r="E265" s="27">
        <v>10</v>
      </c>
      <c r="F265" s="28" t="s">
        <v>367</v>
      </c>
      <c r="G265" s="25" t="str">
        <f t="shared" si="4"/>
        <v>Dim pSeller ID As string * 10'oper_code from IC2_OPERATOR table.</v>
      </c>
    </row>
    <row r="266" spans="1:7" x14ac:dyDescent="0.25">
      <c r="A266" s="26"/>
      <c r="B266" s="27">
        <v>3</v>
      </c>
      <c r="C266" s="27" t="s">
        <v>237</v>
      </c>
      <c r="D266" s="27" t="s">
        <v>87</v>
      </c>
      <c r="E266" s="27">
        <v>10</v>
      </c>
      <c r="F266" s="28" t="s">
        <v>238</v>
      </c>
      <c r="G266" s="25" t="str">
        <f t="shared" si="4"/>
        <v>Dim pEvent From Date As date * 10'Must be within 1 week of the current date</v>
      </c>
    </row>
    <row r="267" spans="1:7" x14ac:dyDescent="0.25">
      <c r="A267" s="26"/>
      <c r="B267" s="27">
        <v>4</v>
      </c>
      <c r="C267" s="27" t="s">
        <v>239</v>
      </c>
      <c r="D267" s="27" t="s">
        <v>87</v>
      </c>
      <c r="E267" s="27">
        <v>10</v>
      </c>
      <c r="F267" s="28" t="s">
        <v>240</v>
      </c>
      <c r="G267" s="25" t="str">
        <f t="shared" si="4"/>
        <v>Dim pEvent To Date As date * 10'Must be later than the 'from' date above</v>
      </c>
    </row>
    <row r="268" spans="1:7" x14ac:dyDescent="0.25">
      <c r="A268" s="26"/>
      <c r="B268" s="27">
        <v>5</v>
      </c>
      <c r="C268" s="27" t="s">
        <v>241</v>
      </c>
      <c r="D268" s="27" t="s">
        <v>55</v>
      </c>
      <c r="E268" s="27">
        <v>2</v>
      </c>
      <c r="F268" s="28" t="s">
        <v>242</v>
      </c>
      <c r="G268" s="25" t="str">
        <f t="shared" si="4"/>
        <v>Dim pEvent Destination 1 As string * 2'Value in Message Category 27 (Country) (must be at least 1 destination)</v>
      </c>
    </row>
    <row r="269" spans="1:7" x14ac:dyDescent="0.25">
      <c r="A269" s="26"/>
      <c r="B269" s="27">
        <v>6</v>
      </c>
      <c r="C269" s="27" t="s">
        <v>243</v>
      </c>
      <c r="D269" s="27" t="s">
        <v>55</v>
      </c>
      <c r="E269" s="27">
        <v>2</v>
      </c>
      <c r="F269" s="28" t="s">
        <v>64</v>
      </c>
      <c r="G269" s="25" t="str">
        <f t="shared" si="4"/>
        <v>Dim pEvent Destination 2 As string * 2'Value in Message Category 27 (Country)</v>
      </c>
    </row>
    <row r="270" spans="1:7" x14ac:dyDescent="0.25">
      <c r="A270" s="26"/>
      <c r="B270" s="27">
        <v>7</v>
      </c>
      <c r="C270" s="27" t="s">
        <v>244</v>
      </c>
      <c r="D270" s="27" t="s">
        <v>55</v>
      </c>
      <c r="E270" s="27">
        <v>2</v>
      </c>
      <c r="F270" s="28" t="s">
        <v>64</v>
      </c>
      <c r="G270" s="25" t="str">
        <f t="shared" si="4"/>
        <v>Dim pEvent Destination 3 As string * 2'Value in Message Category 27 (Country)</v>
      </c>
    </row>
    <row r="271" spans="1:7" x14ac:dyDescent="0.25">
      <c r="A271" s="26"/>
      <c r="B271" s="27">
        <v>8</v>
      </c>
      <c r="C271" s="27" t="s">
        <v>245</v>
      </c>
      <c r="D271" s="27" t="s">
        <v>55</v>
      </c>
      <c r="E271" s="27">
        <v>2</v>
      </c>
      <c r="F271" s="28" t="s">
        <v>64</v>
      </c>
      <c r="G271" s="25" t="str">
        <f t="shared" si="4"/>
        <v>Dim pEvent Destination 4 As string * 2'Value in Message Category 27 (Country)</v>
      </c>
    </row>
    <row r="272" spans="1:7" x14ac:dyDescent="0.25">
      <c r="A272" s="26"/>
      <c r="B272" s="27">
        <v>9</v>
      </c>
      <c r="C272" s="27" t="s">
        <v>246</v>
      </c>
      <c r="D272" s="27" t="s">
        <v>55</v>
      </c>
      <c r="E272" s="27">
        <v>2</v>
      </c>
      <c r="F272" s="28" t="s">
        <v>64</v>
      </c>
      <c r="G272" s="25" t="str">
        <f t="shared" si="4"/>
        <v>Dim pEvent Destination 5 As string * 2'Value in Message Category 27 (Country)</v>
      </c>
    </row>
    <row r="273" spans="1:7" x14ac:dyDescent="0.25">
      <c r="A273" s="26"/>
      <c r="B273" s="27">
        <v>10</v>
      </c>
      <c r="C273" s="27" t="s">
        <v>247</v>
      </c>
      <c r="D273" s="27" t="s">
        <v>55</v>
      </c>
      <c r="E273" s="27">
        <v>2</v>
      </c>
      <c r="F273" s="28" t="s">
        <v>64</v>
      </c>
      <c r="G273" s="25" t="str">
        <f t="shared" si="4"/>
        <v>Dim pEvent Destination 6 As string * 2'Value in Message Category 27 (Country)</v>
      </c>
    </row>
    <row r="274" spans="1:7" x14ac:dyDescent="0.25">
      <c r="A274" s="26"/>
      <c r="B274" s="27">
        <v>11</v>
      </c>
      <c r="C274" s="27" t="s">
        <v>248</v>
      </c>
      <c r="D274" s="27" t="s">
        <v>55</v>
      </c>
      <c r="E274" s="27">
        <v>2</v>
      </c>
      <c r="F274" s="28" t="s">
        <v>64</v>
      </c>
      <c r="G274" s="25" t="str">
        <f t="shared" si="4"/>
        <v>Dim pEvent Destination 7 As string * 2'Value in Message Category 27 (Country)</v>
      </c>
    </row>
    <row r="275" spans="1:7" x14ac:dyDescent="0.25">
      <c r="A275" s="29"/>
      <c r="B275" s="30">
        <v>12</v>
      </c>
      <c r="C275" s="30" t="s">
        <v>249</v>
      </c>
      <c r="D275" s="30" t="s">
        <v>55</v>
      </c>
      <c r="E275" s="30">
        <v>2</v>
      </c>
      <c r="F275" s="31" t="s">
        <v>64</v>
      </c>
      <c r="G275" s="25" t="str">
        <f t="shared" si="4"/>
        <v>Dim pEvent Destination 8 As string * 2'Value in Message Category 27 (Country)</v>
      </c>
    </row>
    <row r="277" spans="1:7" x14ac:dyDescent="0.25">
      <c r="A277" s="22" t="s">
        <v>368</v>
      </c>
      <c r="B277" s="23">
        <v>1</v>
      </c>
      <c r="C277" s="23" t="s">
        <v>48</v>
      </c>
      <c r="D277" s="23" t="s">
        <v>55</v>
      </c>
      <c r="E277" s="23">
        <v>25</v>
      </c>
      <c r="F277" s="24" t="s">
        <v>369</v>
      </c>
      <c r="G277" s="25" t="str">
        <f t="shared" si="4"/>
        <v>Dim pTag As string * 25'Must be 'TRANADD'</v>
      </c>
    </row>
    <row r="278" spans="1:7" x14ac:dyDescent="0.25">
      <c r="A278" s="26"/>
      <c r="B278" s="27">
        <v>2</v>
      </c>
      <c r="C278" s="27" t="s">
        <v>370</v>
      </c>
      <c r="D278" s="27" t="s">
        <v>55</v>
      </c>
      <c r="E278" s="27">
        <v>12</v>
      </c>
      <c r="F278" s="28"/>
      <c r="G278" s="25" t="str">
        <f t="shared" si="4"/>
        <v>Dim pCampaign ID As string * 12'</v>
      </c>
    </row>
    <row r="279" spans="1:7" x14ac:dyDescent="0.25">
      <c r="A279" s="26"/>
      <c r="B279" s="27">
        <v>3</v>
      </c>
      <c r="C279" s="27" t="s">
        <v>366</v>
      </c>
      <c r="D279" s="27" t="s">
        <v>55</v>
      </c>
      <c r="E279" s="27">
        <v>10</v>
      </c>
      <c r="F279" s="28" t="s">
        <v>367</v>
      </c>
      <c r="G279" s="25" t="str">
        <f t="shared" si="4"/>
        <v>Dim pSeller ID As string * 10'oper_code from IC2_OPERATOR table.</v>
      </c>
    </row>
    <row r="280" spans="1:7" x14ac:dyDescent="0.25">
      <c r="A280" s="26"/>
      <c r="B280" s="27">
        <v>4</v>
      </c>
      <c r="C280" s="27" t="s">
        <v>371</v>
      </c>
      <c r="D280" s="27" t="s">
        <v>55</v>
      </c>
      <c r="E280" s="27">
        <v>2</v>
      </c>
      <c r="F280" s="28" t="s">
        <v>372</v>
      </c>
      <c r="G280" s="25" t="str">
        <f t="shared" si="4"/>
        <v>Dim pSuspension Reason 1 As string * 2'Value in Message Category SS (S6 Policy Suspend Reasons)</v>
      </c>
    </row>
    <row r="281" spans="1:7" x14ac:dyDescent="0.25">
      <c r="A281" s="26"/>
      <c r="B281" s="27">
        <v>5</v>
      </c>
      <c r="C281" s="27" t="s">
        <v>373</v>
      </c>
      <c r="D281" s="27" t="s">
        <v>55</v>
      </c>
      <c r="E281" s="27">
        <v>2</v>
      </c>
      <c r="F281" s="28" t="s">
        <v>372</v>
      </c>
      <c r="G281" s="25" t="str">
        <f t="shared" si="4"/>
        <v>Dim pSuspension Reason 2 As string * 2'Value in Message Category SS (S6 Policy Suspend Reasons)</v>
      </c>
    </row>
    <row r="282" spans="1:7" x14ac:dyDescent="0.25">
      <c r="A282" s="29"/>
      <c r="B282" s="30">
        <v>6</v>
      </c>
      <c r="C282" s="30" t="s">
        <v>374</v>
      </c>
      <c r="D282" s="30" t="s">
        <v>55</v>
      </c>
      <c r="E282" s="30">
        <v>2</v>
      </c>
      <c r="F282" s="31" t="s">
        <v>372</v>
      </c>
      <c r="G282" s="25" t="str">
        <f t="shared" si="4"/>
        <v>Dim pSuspension Reason 3 As string * 2'Value in Message Category SS (S6 Policy Suspend Reasons)</v>
      </c>
    </row>
    <row r="284" spans="1:7" x14ac:dyDescent="0.25">
      <c r="A284" s="22" t="s">
        <v>375</v>
      </c>
      <c r="B284" s="23">
        <v>1</v>
      </c>
      <c r="C284" s="23" t="s">
        <v>48</v>
      </c>
      <c r="D284" s="23" t="s">
        <v>55</v>
      </c>
      <c r="E284" s="23">
        <v>25</v>
      </c>
      <c r="F284" s="24" t="s">
        <v>376</v>
      </c>
      <c r="G284" s="25" t="str">
        <f t="shared" si="4"/>
        <v>Dim pTag As string * 25'Must be 'TRANADJ'</v>
      </c>
    </row>
    <row r="285" spans="1:7" x14ac:dyDescent="0.25">
      <c r="A285" s="26"/>
      <c r="B285" s="27">
        <v>2</v>
      </c>
      <c r="C285" s="27" t="s">
        <v>377</v>
      </c>
      <c r="D285" s="27" t="s">
        <v>55</v>
      </c>
      <c r="E285" s="27">
        <v>6</v>
      </c>
      <c r="F285" s="28"/>
      <c r="G285" s="25" t="str">
        <f t="shared" si="4"/>
        <v>Dim pProduct or Package ID As string * 6'</v>
      </c>
    </row>
    <row r="286" spans="1:7" x14ac:dyDescent="0.25">
      <c r="A286" s="26"/>
      <c r="B286" s="27">
        <v>3</v>
      </c>
      <c r="C286" s="27" t="s">
        <v>378</v>
      </c>
      <c r="D286" s="27" t="s">
        <v>187</v>
      </c>
      <c r="E286" s="27">
        <v>15</v>
      </c>
      <c r="F286" s="28" t="s">
        <v>379</v>
      </c>
      <c r="G286" s="25" t="str">
        <f t="shared" si="4"/>
        <v>Dim pAmount As double * 15'Negative values are credits.</v>
      </c>
    </row>
    <row r="287" spans="1:7" x14ac:dyDescent="0.25">
      <c r="A287" s="26"/>
      <c r="B287" s="27">
        <v>4</v>
      </c>
      <c r="C287" s="27" t="s">
        <v>380</v>
      </c>
      <c r="D287" s="27" t="s">
        <v>55</v>
      </c>
      <c r="E287" s="27">
        <v>2</v>
      </c>
      <c r="F287" s="28" t="s">
        <v>381</v>
      </c>
      <c r="G287" s="25" t="str">
        <f t="shared" si="4"/>
        <v>Dim pReason Code As string * 2'Value in Message Category SA (S6 Adjustment Reasons)</v>
      </c>
    </row>
    <row r="288" spans="1:7" x14ac:dyDescent="0.25">
      <c r="A288" s="29"/>
      <c r="B288" s="30">
        <v>5</v>
      </c>
      <c r="C288" s="30" t="s">
        <v>332</v>
      </c>
      <c r="D288" s="30" t="s">
        <v>55</v>
      </c>
      <c r="E288" s="30">
        <v>2</v>
      </c>
      <c r="F288" s="31" t="s">
        <v>333</v>
      </c>
      <c r="G288" s="25" t="str">
        <f t="shared" si="4"/>
        <v>Dim pTax Exclusion Code As string * 2'Value in Message Category SE (S6 Tax Exclusion Reasons)</v>
      </c>
    </row>
    <row r="290" spans="1:7" x14ac:dyDescent="0.25">
      <c r="A290" s="22" t="s">
        <v>382</v>
      </c>
      <c r="B290" s="23">
        <v>1</v>
      </c>
      <c r="C290" s="23" t="s">
        <v>48</v>
      </c>
      <c r="D290" s="23" t="s">
        <v>55</v>
      </c>
      <c r="E290" s="23">
        <v>25</v>
      </c>
      <c r="F290" s="24" t="s">
        <v>383</v>
      </c>
      <c r="G290" s="25" t="str">
        <f t="shared" si="4"/>
        <v>Dim pTag As string * 25'Must be 'TRANCAN'</v>
      </c>
    </row>
    <row r="291" spans="1:7" x14ac:dyDescent="0.25">
      <c r="A291" s="26"/>
      <c r="B291" s="27">
        <v>2</v>
      </c>
      <c r="C291" s="27" t="s">
        <v>384</v>
      </c>
      <c r="D291" s="27" t="s">
        <v>55</v>
      </c>
      <c r="E291" s="27">
        <v>6</v>
      </c>
      <c r="F291" s="28"/>
      <c r="G291" s="25" t="str">
        <f t="shared" si="4"/>
        <v>Dim pProduct or Package To Cancel As string * 6'</v>
      </c>
    </row>
    <row r="292" spans="1:7" x14ac:dyDescent="0.25">
      <c r="A292" s="29"/>
      <c r="B292" s="30">
        <v>3</v>
      </c>
      <c r="C292" s="30" t="s">
        <v>380</v>
      </c>
      <c r="D292" s="30" t="s">
        <v>55</v>
      </c>
      <c r="E292" s="30">
        <v>2</v>
      </c>
      <c r="F292" s="31" t="s">
        <v>385</v>
      </c>
      <c r="G292" s="25" t="str">
        <f t="shared" si="4"/>
        <v>Dim pReason Code As string * 2'Value in Message Category SC (S6 Cancellation Reasons)</v>
      </c>
    </row>
    <row r="294" spans="1:7" x14ac:dyDescent="0.25">
      <c r="A294" s="22" t="s">
        <v>386</v>
      </c>
      <c r="B294" s="23">
        <v>1</v>
      </c>
      <c r="C294" s="23" t="s">
        <v>48</v>
      </c>
      <c r="D294" s="23" t="s">
        <v>55</v>
      </c>
      <c r="E294" s="23">
        <v>25</v>
      </c>
      <c r="F294" s="24" t="s">
        <v>387</v>
      </c>
      <c r="G294" s="25" t="str">
        <f t="shared" si="4"/>
        <v>Dim pTag As string * 25'Must be 'TRANCAR'</v>
      </c>
    </row>
    <row r="295" spans="1:7" x14ac:dyDescent="0.25">
      <c r="A295" s="26"/>
      <c r="B295" s="27">
        <v>2</v>
      </c>
      <c r="C295" s="27" t="s">
        <v>384</v>
      </c>
      <c r="D295" s="27" t="s">
        <v>55</v>
      </c>
      <c r="E295" s="27">
        <v>6</v>
      </c>
      <c r="F295" s="28"/>
      <c r="G295" s="25" t="str">
        <f t="shared" si="4"/>
        <v>Dim pProduct or Package To Cancel As string * 6'</v>
      </c>
    </row>
    <row r="296" spans="1:7" x14ac:dyDescent="0.25">
      <c r="A296" s="26"/>
      <c r="B296" s="27">
        <v>3</v>
      </c>
      <c r="C296" s="27" t="s">
        <v>380</v>
      </c>
      <c r="D296" s="27" t="s">
        <v>55</v>
      </c>
      <c r="E296" s="27">
        <v>2</v>
      </c>
      <c r="F296" s="28" t="s">
        <v>385</v>
      </c>
      <c r="G296" s="25" t="str">
        <f t="shared" si="4"/>
        <v>Dim pReason Code As string * 2'Value in Message Category SC (S6 Cancellation Reasons)</v>
      </c>
    </row>
    <row r="297" spans="1:7" ht="30" x14ac:dyDescent="0.25">
      <c r="A297" s="29"/>
      <c r="B297" s="30">
        <v>4</v>
      </c>
      <c r="C297" s="30" t="s">
        <v>388</v>
      </c>
      <c r="D297" s="30" t="s">
        <v>187</v>
      </c>
      <c r="E297" s="30">
        <v>15</v>
      </c>
      <c r="F297" s="31" t="s">
        <v>389</v>
      </c>
      <c r="G297" s="25" t="str">
        <f t="shared" si="4"/>
        <v>Dim pRefund Amount As double * 15'A value of zero (0.0) will automatically determined appropriate refund amount.  (allows values &gt;= 0.0 only)</v>
      </c>
    </row>
    <row r="299" spans="1:7" x14ac:dyDescent="0.25">
      <c r="A299" s="22" t="s">
        <v>390</v>
      </c>
      <c r="B299" s="23">
        <v>1</v>
      </c>
      <c r="C299" s="23" t="s">
        <v>48</v>
      </c>
      <c r="D299" s="23" t="s">
        <v>55</v>
      </c>
      <c r="E299" s="23">
        <v>25</v>
      </c>
      <c r="F299" s="24" t="s">
        <v>391</v>
      </c>
      <c r="G299" s="25" t="str">
        <f t="shared" si="4"/>
        <v>Dim pTag As string * 25'Must be 'TRANCPN'</v>
      </c>
    </row>
    <row r="300" spans="1:7" x14ac:dyDescent="0.25">
      <c r="A300" s="29"/>
      <c r="B300" s="30">
        <v>2</v>
      </c>
      <c r="C300" s="30" t="s">
        <v>380</v>
      </c>
      <c r="D300" s="30" t="s">
        <v>55</v>
      </c>
      <c r="E300" s="30">
        <v>2</v>
      </c>
      <c r="F300" s="31" t="s">
        <v>385</v>
      </c>
      <c r="G300" s="25" t="str">
        <f t="shared" si="4"/>
        <v>Dim pReason Code As string * 2'Value in Message Category SC (S6 Cancellation Reasons)</v>
      </c>
    </row>
    <row r="302" spans="1:7" x14ac:dyDescent="0.25">
      <c r="A302" s="22" t="s">
        <v>392</v>
      </c>
      <c r="B302" s="23">
        <v>1</v>
      </c>
      <c r="C302" s="23" t="s">
        <v>48</v>
      </c>
      <c r="D302" s="23" t="s">
        <v>55</v>
      </c>
      <c r="E302" s="23">
        <v>10</v>
      </c>
      <c r="F302" s="24" t="s">
        <v>393</v>
      </c>
      <c r="G302" s="25" t="str">
        <f t="shared" si="4"/>
        <v>Dim pTag As string * 10'Must be 'TRANCPR'</v>
      </c>
    </row>
    <row r="303" spans="1:7" x14ac:dyDescent="0.25">
      <c r="A303" s="26"/>
      <c r="B303" s="27">
        <v>2</v>
      </c>
      <c r="C303" s="27" t="s">
        <v>380</v>
      </c>
      <c r="D303" s="27" t="s">
        <v>55</v>
      </c>
      <c r="E303" s="27">
        <v>2</v>
      </c>
      <c r="F303" s="28" t="s">
        <v>385</v>
      </c>
      <c r="G303" s="25" t="str">
        <f t="shared" si="4"/>
        <v>Dim pReason Code As string * 2'Value in Message Category SC (S6 Cancellation Reasons)</v>
      </c>
    </row>
    <row r="304" spans="1:7" ht="30.75" customHeight="1" x14ac:dyDescent="0.25">
      <c r="A304" s="29"/>
      <c r="B304" s="30">
        <v>3</v>
      </c>
      <c r="C304" s="30" t="s">
        <v>388</v>
      </c>
      <c r="D304" s="30" t="s">
        <v>187</v>
      </c>
      <c r="E304" s="30">
        <v>10</v>
      </c>
      <c r="F304" s="31" t="s">
        <v>389</v>
      </c>
      <c r="G304" s="25" t="str">
        <f t="shared" si="4"/>
        <v>Dim pRefund Amount As double * 10'A value of zero (0.0) will automatically determined appropriate refund amount.  (allows values &gt;= 0.0 only)</v>
      </c>
    </row>
    <row r="306" spans="1:7" x14ac:dyDescent="0.25">
      <c r="A306" s="22" t="s">
        <v>394</v>
      </c>
      <c r="B306" s="23">
        <v>1</v>
      </c>
      <c r="C306" s="23" t="s">
        <v>48</v>
      </c>
      <c r="D306" s="23" t="s">
        <v>55</v>
      </c>
      <c r="E306" s="23">
        <v>25</v>
      </c>
      <c r="F306" s="24" t="s">
        <v>395</v>
      </c>
      <c r="G306" s="25" t="str">
        <f t="shared" si="4"/>
        <v>Dim pTag As string * 25'Must be 'TRANEND'</v>
      </c>
    </row>
    <row r="307" spans="1:7" x14ac:dyDescent="0.25">
      <c r="A307" s="26"/>
      <c r="B307" s="27">
        <v>2</v>
      </c>
      <c r="C307" s="27" t="s">
        <v>366</v>
      </c>
      <c r="D307" s="27" t="s">
        <v>55</v>
      </c>
      <c r="E307" s="27">
        <v>10</v>
      </c>
      <c r="F307" s="28" t="s">
        <v>367</v>
      </c>
      <c r="G307" s="25" t="str">
        <f t="shared" si="4"/>
        <v>Dim pSeller ID As string * 10'oper_code from IC2_OPERATOR table.</v>
      </c>
    </row>
    <row r="308" spans="1:7" x14ac:dyDescent="0.25">
      <c r="A308" s="26"/>
      <c r="B308" s="27">
        <v>3</v>
      </c>
      <c r="C308" s="27" t="s">
        <v>371</v>
      </c>
      <c r="D308" s="27" t="s">
        <v>55</v>
      </c>
      <c r="E308" s="27">
        <v>2</v>
      </c>
      <c r="F308" s="28" t="s">
        <v>372</v>
      </c>
      <c r="G308" s="25" t="str">
        <f t="shared" si="4"/>
        <v>Dim pSuspension Reason 1 As string * 2'Value in Message Category SS (S6 Policy Suspend Reasons)</v>
      </c>
    </row>
    <row r="309" spans="1:7" x14ac:dyDescent="0.25">
      <c r="A309" s="26"/>
      <c r="B309" s="27">
        <v>4</v>
      </c>
      <c r="C309" s="27" t="s">
        <v>373</v>
      </c>
      <c r="D309" s="27" t="s">
        <v>55</v>
      </c>
      <c r="E309" s="27">
        <v>2</v>
      </c>
      <c r="F309" s="28" t="s">
        <v>372</v>
      </c>
      <c r="G309" s="25" t="str">
        <f t="shared" si="4"/>
        <v>Dim pSuspension Reason 2 As string * 2'Value in Message Category SS (S6 Policy Suspend Reasons)</v>
      </c>
    </row>
    <row r="310" spans="1:7" x14ac:dyDescent="0.25">
      <c r="A310" s="29"/>
      <c r="B310" s="30">
        <v>5</v>
      </c>
      <c r="C310" s="30" t="s">
        <v>374</v>
      </c>
      <c r="D310" s="30" t="s">
        <v>55</v>
      </c>
      <c r="E310" s="30">
        <v>2</v>
      </c>
      <c r="F310" s="31" t="s">
        <v>372</v>
      </c>
      <c r="G310" s="25" t="str">
        <f t="shared" si="4"/>
        <v>Dim pSuspension Reason 3 As string * 2'Value in Message Category SS (S6 Policy Suspend Reasons)</v>
      </c>
    </row>
    <row r="312" spans="1:7" x14ac:dyDescent="0.25">
      <c r="A312" s="22" t="s">
        <v>396</v>
      </c>
      <c r="B312" s="23">
        <v>1</v>
      </c>
      <c r="C312" s="23" t="s">
        <v>48</v>
      </c>
      <c r="D312" s="23" t="s">
        <v>55</v>
      </c>
      <c r="E312" s="23">
        <v>25</v>
      </c>
      <c r="F312" s="24" t="s">
        <v>397</v>
      </c>
      <c r="G312" s="25" t="str">
        <f t="shared" si="4"/>
        <v>Dim pTag As string * 25'Must be 'TRANIDN'</v>
      </c>
    </row>
    <row r="313" spans="1:7" x14ac:dyDescent="0.25">
      <c r="A313" s="29"/>
      <c r="B313" s="30">
        <v>2</v>
      </c>
      <c r="C313" s="30" t="s">
        <v>398</v>
      </c>
      <c r="D313" s="30" t="s">
        <v>55</v>
      </c>
      <c r="E313" s="30">
        <v>9</v>
      </c>
      <c r="F313" s="31" t="s">
        <v>105</v>
      </c>
      <c r="G313" s="25" t="str">
        <f t="shared" si="4"/>
        <v>Dim pPrimary Account ID As string * 9'May use macro representing account id.</v>
      </c>
    </row>
    <row r="315" spans="1:7" x14ac:dyDescent="0.25">
      <c r="A315" s="22" t="s">
        <v>399</v>
      </c>
      <c r="B315" s="23">
        <v>1</v>
      </c>
      <c r="C315" s="23" t="s">
        <v>48</v>
      </c>
      <c r="D315" s="23" t="s">
        <v>55</v>
      </c>
      <c r="E315" s="23">
        <v>25</v>
      </c>
      <c r="F315" s="24" t="s">
        <v>400</v>
      </c>
      <c r="G315" s="25" t="str">
        <f t="shared" si="4"/>
        <v>Dim pTag As string * 25'Must be 'TRANNEW'</v>
      </c>
    </row>
    <row r="316" spans="1:7" x14ac:dyDescent="0.25">
      <c r="A316" s="26"/>
      <c r="B316" s="27">
        <v>2</v>
      </c>
      <c r="C316" s="27" t="s">
        <v>370</v>
      </c>
      <c r="D316" s="27" t="s">
        <v>55</v>
      </c>
      <c r="E316" s="27">
        <v>12</v>
      </c>
      <c r="F316" s="28"/>
      <c r="G316" s="25" t="str">
        <f t="shared" si="4"/>
        <v>Dim pCampaign ID As string * 12'</v>
      </c>
    </row>
    <row r="317" spans="1:7" x14ac:dyDescent="0.25">
      <c r="A317" s="26"/>
      <c r="B317" s="27">
        <v>3</v>
      </c>
      <c r="C317" s="27" t="s">
        <v>366</v>
      </c>
      <c r="D317" s="27" t="s">
        <v>55</v>
      </c>
      <c r="E317" s="27">
        <v>10</v>
      </c>
      <c r="F317" s="28" t="s">
        <v>367</v>
      </c>
      <c r="G317" s="25" t="str">
        <f t="shared" si="4"/>
        <v>Dim pSeller ID As string * 10'oper_code from IC2_OPERATOR table.</v>
      </c>
    </row>
    <row r="318" spans="1:7" x14ac:dyDescent="0.25">
      <c r="A318" s="26"/>
      <c r="B318" s="27">
        <v>4</v>
      </c>
      <c r="C318" s="27" t="s">
        <v>371</v>
      </c>
      <c r="D318" s="27" t="s">
        <v>55</v>
      </c>
      <c r="E318" s="27">
        <v>2</v>
      </c>
      <c r="F318" s="28" t="s">
        <v>372</v>
      </c>
      <c r="G318" s="25" t="str">
        <f t="shared" si="4"/>
        <v>Dim pSuspension Reason 1 As string * 2'Value in Message Category SS (S6 Policy Suspend Reasons)</v>
      </c>
    </row>
    <row r="319" spans="1:7" x14ac:dyDescent="0.25">
      <c r="A319" s="26"/>
      <c r="B319" s="27">
        <v>5</v>
      </c>
      <c r="C319" s="27" t="s">
        <v>373</v>
      </c>
      <c r="D319" s="27" t="s">
        <v>55</v>
      </c>
      <c r="E319" s="27">
        <v>2</v>
      </c>
      <c r="F319" s="28" t="s">
        <v>372</v>
      </c>
      <c r="G319" s="25" t="str">
        <f t="shared" si="4"/>
        <v>Dim pSuspension Reason 2 As string * 2'Value in Message Category SS (S6 Policy Suspend Reasons)</v>
      </c>
    </row>
    <row r="320" spans="1:7" x14ac:dyDescent="0.25">
      <c r="A320" s="26"/>
      <c r="B320" s="27">
        <v>6</v>
      </c>
      <c r="C320" s="27" t="s">
        <v>374</v>
      </c>
      <c r="D320" s="27" t="s">
        <v>55</v>
      </c>
      <c r="E320" s="27">
        <v>2</v>
      </c>
      <c r="F320" s="28" t="s">
        <v>372</v>
      </c>
      <c r="G320" s="25" t="str">
        <f t="shared" si="4"/>
        <v>Dim pSuspension Reason 3 As string * 2'Value in Message Category SS (S6 Policy Suspend Reasons)</v>
      </c>
    </row>
    <row r="321" spans="1:7" x14ac:dyDescent="0.25">
      <c r="A321" s="29"/>
      <c r="B321" s="30">
        <v>7</v>
      </c>
      <c r="C321" s="30" t="s">
        <v>401</v>
      </c>
      <c r="D321" s="30" t="s">
        <v>87</v>
      </c>
      <c r="E321" s="30">
        <v>10</v>
      </c>
      <c r="F321" s="31"/>
      <c r="G321" s="25" t="str">
        <f t="shared" si="4"/>
        <v>Dim pApplication Date As date * 10'</v>
      </c>
    </row>
    <row r="323" spans="1:7" x14ac:dyDescent="0.25">
      <c r="A323" s="22" t="s">
        <v>402</v>
      </c>
      <c r="B323" s="23">
        <v>1</v>
      </c>
      <c r="C323" s="23" t="s">
        <v>48</v>
      </c>
      <c r="D323" s="23" t="s">
        <v>55</v>
      </c>
      <c r="E323" s="23">
        <v>25</v>
      </c>
      <c r="F323" s="24" t="s">
        <v>403</v>
      </c>
      <c r="G323" s="25" t="str">
        <f t="shared" ref="G323:G351" si="5">CONCATENATE("Dim p",C323," As ",D323," * ",E323,"'",F323)</f>
        <v>Dim pTag As string * 25'Must be 'TRANPND'</v>
      </c>
    </row>
    <row r="324" spans="1:7" x14ac:dyDescent="0.25">
      <c r="A324" s="29"/>
      <c r="B324" s="30">
        <v>2</v>
      </c>
      <c r="C324" s="30" t="s">
        <v>380</v>
      </c>
      <c r="D324" s="30" t="s">
        <v>55</v>
      </c>
      <c r="E324" s="30">
        <v>2</v>
      </c>
      <c r="F324" s="31" t="s">
        <v>372</v>
      </c>
      <c r="G324" s="25" t="str">
        <f t="shared" si="5"/>
        <v>Dim pReason Code As string * 2'Value in Message Category SS (S6 Policy Suspend Reasons)</v>
      </c>
    </row>
    <row r="326" spans="1:7" x14ac:dyDescent="0.25">
      <c r="A326" s="22" t="s">
        <v>404</v>
      </c>
      <c r="B326" s="23">
        <v>1</v>
      </c>
      <c r="C326" s="23" t="s">
        <v>48</v>
      </c>
      <c r="D326" s="23" t="s">
        <v>55</v>
      </c>
      <c r="E326" s="23">
        <v>25</v>
      </c>
      <c r="F326" s="24" t="s">
        <v>405</v>
      </c>
      <c r="G326" s="25" t="str">
        <f t="shared" si="5"/>
        <v>Dim pTag As string * 25'Must be 'TRANPNR'</v>
      </c>
    </row>
    <row r="327" spans="1:7" x14ac:dyDescent="0.25">
      <c r="A327" s="26"/>
      <c r="B327" s="27">
        <v>2</v>
      </c>
      <c r="C327" s="27" t="s">
        <v>380</v>
      </c>
      <c r="D327" s="27" t="s">
        <v>55</v>
      </c>
      <c r="E327" s="27">
        <v>2</v>
      </c>
      <c r="F327" s="28" t="s">
        <v>406</v>
      </c>
      <c r="G327" s="25" t="str">
        <f t="shared" si="5"/>
        <v>Dim pReason Code As string * 2'Must match a suspension already recorded for policy.</v>
      </c>
    </row>
    <row r="328" spans="1:7" x14ac:dyDescent="0.25">
      <c r="A328" s="26"/>
      <c r="B328" s="27">
        <v>3</v>
      </c>
      <c r="C328" s="27" t="s">
        <v>361</v>
      </c>
      <c r="D328" s="27" t="s">
        <v>87</v>
      </c>
      <c r="E328" s="27">
        <v>10</v>
      </c>
      <c r="F328" s="28" t="s">
        <v>407</v>
      </c>
      <c r="G328" s="25" t="str">
        <f t="shared" si="5"/>
        <v>Dim pEffective Date As date * 10'Can only be used with PND code '99' in Message Category SS</v>
      </c>
    </row>
    <row r="329" spans="1:7" x14ac:dyDescent="0.25">
      <c r="A329" s="26"/>
      <c r="B329" s="27">
        <v>4</v>
      </c>
      <c r="C329" s="27" t="s">
        <v>408</v>
      </c>
      <c r="D329" s="27" t="s">
        <v>87</v>
      </c>
      <c r="E329" s="27">
        <v>10</v>
      </c>
      <c r="F329" s="28" t="s">
        <v>409</v>
      </c>
      <c r="G329" s="25" t="str">
        <f t="shared" si="5"/>
        <v>Dim pBilled Thru Date As date * 10'Same rule as trn_effdt above. This date cannot be later than 1 month of effective date.</v>
      </c>
    </row>
    <row r="330" spans="1:7" x14ac:dyDescent="0.25">
      <c r="A330" s="26"/>
      <c r="B330" s="27">
        <v>5</v>
      </c>
      <c r="C330" s="27" t="s">
        <v>401</v>
      </c>
      <c r="D330" s="27" t="s">
        <v>87</v>
      </c>
      <c r="E330" s="27">
        <v>10</v>
      </c>
      <c r="F330" s="28"/>
      <c r="G330" s="25" t="str">
        <f t="shared" si="5"/>
        <v>Dim pApplication Date As date * 10'</v>
      </c>
    </row>
    <row r="331" spans="1:7" x14ac:dyDescent="0.25">
      <c r="A331" s="29"/>
      <c r="B331" s="30">
        <v>6</v>
      </c>
      <c r="C331" s="30" t="s">
        <v>410</v>
      </c>
      <c r="D331" s="30" t="s">
        <v>60</v>
      </c>
      <c r="E331" s="30">
        <v>10</v>
      </c>
      <c r="F331" s="31"/>
      <c r="G331" s="25" t="str">
        <f t="shared" si="5"/>
        <v>Dim pApplication Number As integer * 10'</v>
      </c>
    </row>
    <row r="333" spans="1:7" x14ac:dyDescent="0.25">
      <c r="A333" s="22" t="s">
        <v>411</v>
      </c>
      <c r="B333" s="23">
        <v>1</v>
      </c>
      <c r="C333" s="23" t="s">
        <v>48</v>
      </c>
      <c r="D333" s="23" t="s">
        <v>55</v>
      </c>
      <c r="E333" s="23">
        <v>25</v>
      </c>
      <c r="F333" s="24" t="s">
        <v>412</v>
      </c>
      <c r="G333" s="25" t="str">
        <f t="shared" si="5"/>
        <v>Dim pTag As string * 25'Must be 'TRANRER'</v>
      </c>
    </row>
    <row r="334" spans="1:7" x14ac:dyDescent="0.25">
      <c r="A334" s="29"/>
      <c r="B334" s="30">
        <v>2</v>
      </c>
      <c r="C334" s="30" t="s">
        <v>361</v>
      </c>
      <c r="D334" s="30" t="s">
        <v>87</v>
      </c>
      <c r="E334" s="30">
        <v>10</v>
      </c>
      <c r="F334" s="31"/>
      <c r="G334" s="25" t="str">
        <f t="shared" si="5"/>
        <v>Dim pEffective Date As date * 10'</v>
      </c>
    </row>
    <row r="336" spans="1:7" x14ac:dyDescent="0.25">
      <c r="A336" s="22" t="s">
        <v>413</v>
      </c>
      <c r="B336" s="23">
        <v>1</v>
      </c>
      <c r="C336" s="23" t="s">
        <v>48</v>
      </c>
      <c r="D336" s="23" t="s">
        <v>55</v>
      </c>
      <c r="E336" s="23">
        <v>25</v>
      </c>
      <c r="F336" s="24" t="s">
        <v>414</v>
      </c>
      <c r="G336" s="25" t="str">
        <f t="shared" si="5"/>
        <v>Dim pTag As string * 25'Must be 'TRANSACTION'</v>
      </c>
    </row>
    <row r="337" spans="1:7" x14ac:dyDescent="0.25">
      <c r="A337" s="26"/>
      <c r="B337" s="27">
        <v>2</v>
      </c>
      <c r="C337" s="27" t="s">
        <v>361</v>
      </c>
      <c r="D337" s="27" t="s">
        <v>87</v>
      </c>
      <c r="E337" s="27">
        <v>20</v>
      </c>
      <c r="F337" s="28"/>
      <c r="G337" s="25" t="str">
        <f t="shared" si="5"/>
        <v>Dim pEffective Date As date * 20'</v>
      </c>
    </row>
    <row r="338" spans="1:7" x14ac:dyDescent="0.25">
      <c r="A338" s="26"/>
      <c r="B338" s="27">
        <v>3</v>
      </c>
      <c r="C338" s="27" t="s">
        <v>415</v>
      </c>
      <c r="D338" s="27" t="s">
        <v>55</v>
      </c>
      <c r="E338" s="27">
        <v>9</v>
      </c>
      <c r="F338" s="28" t="s">
        <v>105</v>
      </c>
      <c r="G338" s="25" t="str">
        <f t="shared" si="5"/>
        <v>Dim pAccount ID for Session As string * 9'May use macro representing account id.</v>
      </c>
    </row>
    <row r="339" spans="1:7" x14ac:dyDescent="0.25">
      <c r="A339" s="26"/>
      <c r="B339" s="27">
        <v>4</v>
      </c>
      <c r="C339" s="27" t="s">
        <v>150</v>
      </c>
      <c r="D339" s="27" t="s">
        <v>55</v>
      </c>
      <c r="E339" s="27">
        <v>7</v>
      </c>
      <c r="F339" s="28" t="s">
        <v>151</v>
      </c>
      <c r="G339" s="25" t="str">
        <f t="shared" si="5"/>
        <v>Dim pPrint Indicator As string * 7'May be 'print', 'noprint' or 'suspend' to indicate SuperPrint print request.</v>
      </c>
    </row>
    <row r="340" spans="1:7" x14ac:dyDescent="0.25">
      <c r="A340" s="26"/>
      <c r="B340" s="27">
        <v>5</v>
      </c>
      <c r="C340" s="27" t="s">
        <v>106</v>
      </c>
      <c r="D340" s="27" t="s">
        <v>416</v>
      </c>
      <c r="E340" s="27">
        <v>50</v>
      </c>
      <c r="F340" s="28"/>
      <c r="G340" s="25" t="str">
        <f t="shared" si="5"/>
        <v>Dim pFree Text As string  2 * 50'</v>
      </c>
    </row>
    <row r="341" spans="1:7" x14ac:dyDescent="0.25">
      <c r="A341" s="26"/>
      <c r="B341" s="27">
        <v>6</v>
      </c>
      <c r="C341" s="27" t="s">
        <v>417</v>
      </c>
      <c r="D341" s="27" t="s">
        <v>55</v>
      </c>
      <c r="E341" s="27">
        <v>2</v>
      </c>
      <c r="F341" s="28" t="s">
        <v>418</v>
      </c>
      <c r="G341" s="25" t="str">
        <f t="shared" si="5"/>
        <v>Dim pEndorsement Transaction Reason As string * 2'Value in Message Category SB (S6 Endorsement Reasons)</v>
      </c>
    </row>
    <row r="342" spans="1:7" x14ac:dyDescent="0.25">
      <c r="A342" s="26"/>
      <c r="B342" s="27">
        <v>7</v>
      </c>
      <c r="C342" s="27" t="s">
        <v>401</v>
      </c>
      <c r="D342" s="27" t="s">
        <v>87</v>
      </c>
      <c r="E342" s="27">
        <v>10</v>
      </c>
      <c r="F342" s="28"/>
      <c r="G342" s="25" t="str">
        <f t="shared" si="5"/>
        <v>Dim pApplication Date As date * 10'</v>
      </c>
    </row>
    <row r="343" spans="1:7" x14ac:dyDescent="0.25">
      <c r="A343" s="29"/>
      <c r="B343" s="30">
        <v>8</v>
      </c>
      <c r="C343" s="30" t="s">
        <v>410</v>
      </c>
      <c r="D343" s="30" t="s">
        <v>55</v>
      </c>
      <c r="E343" s="30">
        <v>30</v>
      </c>
      <c r="F343" s="31"/>
      <c r="G343" s="25" t="str">
        <f t="shared" si="5"/>
        <v>Dim pApplication Number As string * 30'</v>
      </c>
    </row>
    <row r="345" spans="1:7" x14ac:dyDescent="0.25">
      <c r="A345" s="22" t="s">
        <v>419</v>
      </c>
      <c r="B345" s="23">
        <v>1</v>
      </c>
      <c r="C345" s="23" t="s">
        <v>48</v>
      </c>
      <c r="D345" s="23" t="s">
        <v>55</v>
      </c>
      <c r="E345" s="23">
        <v>25</v>
      </c>
      <c r="F345" s="24" t="s">
        <v>420</v>
      </c>
      <c r="G345" s="25" t="str">
        <f t="shared" si="5"/>
        <v>Dim pTag As string * 25'Must be 'TRANUPC'</v>
      </c>
    </row>
    <row r="346" spans="1:7" x14ac:dyDescent="0.25">
      <c r="A346" s="26"/>
      <c r="B346" s="27">
        <v>2</v>
      </c>
      <c r="C346" s="27" t="s">
        <v>370</v>
      </c>
      <c r="D346" s="27" t="s">
        <v>55</v>
      </c>
      <c r="E346" s="27">
        <v>12</v>
      </c>
      <c r="F346" s="28"/>
      <c r="G346" s="25" t="str">
        <f t="shared" si="5"/>
        <v>Dim pCampaign ID As string * 12'</v>
      </c>
    </row>
    <row r="347" spans="1:7" x14ac:dyDescent="0.25">
      <c r="A347" s="26"/>
      <c r="B347" s="27">
        <v>3</v>
      </c>
      <c r="C347" s="27" t="s">
        <v>377</v>
      </c>
      <c r="D347" s="27" t="s">
        <v>55</v>
      </c>
      <c r="E347" s="27">
        <v>6</v>
      </c>
      <c r="F347" s="28" t="s">
        <v>421</v>
      </c>
      <c r="G347" s="25" t="str">
        <f t="shared" si="5"/>
        <v>Dim pProduct or Package ID As string * 6'This is the ID of the product/package being upgraded.</v>
      </c>
    </row>
    <row r="348" spans="1:7" x14ac:dyDescent="0.25">
      <c r="A348" s="26"/>
      <c r="B348" s="27">
        <v>4</v>
      </c>
      <c r="C348" s="27" t="s">
        <v>366</v>
      </c>
      <c r="D348" s="27" t="s">
        <v>55</v>
      </c>
      <c r="E348" s="27">
        <v>10</v>
      </c>
      <c r="F348" s="28" t="s">
        <v>367</v>
      </c>
      <c r="G348" s="25" t="str">
        <f t="shared" si="5"/>
        <v>Dim pSeller ID As string * 10'oper_code from IC2_OPERATOR table.</v>
      </c>
    </row>
    <row r="349" spans="1:7" x14ac:dyDescent="0.25">
      <c r="A349" s="26"/>
      <c r="B349" s="27">
        <v>5</v>
      </c>
      <c r="C349" s="27" t="s">
        <v>371</v>
      </c>
      <c r="D349" s="27" t="s">
        <v>55</v>
      </c>
      <c r="E349" s="27">
        <v>2</v>
      </c>
      <c r="F349" s="28" t="s">
        <v>372</v>
      </c>
      <c r="G349" s="25" t="str">
        <f t="shared" si="5"/>
        <v>Dim pSuspension Reason 1 As string * 2'Value in Message Category SS (S6 Policy Suspend Reasons)</v>
      </c>
    </row>
    <row r="350" spans="1:7" x14ac:dyDescent="0.25">
      <c r="A350" s="26"/>
      <c r="B350" s="27">
        <v>6</v>
      </c>
      <c r="C350" s="27" t="s">
        <v>373</v>
      </c>
      <c r="D350" s="27" t="s">
        <v>55</v>
      </c>
      <c r="E350" s="27">
        <v>2</v>
      </c>
      <c r="F350" s="28" t="s">
        <v>372</v>
      </c>
      <c r="G350" s="25" t="str">
        <f t="shared" si="5"/>
        <v>Dim pSuspension Reason 2 As string * 2'Value in Message Category SS (S6 Policy Suspend Reasons)</v>
      </c>
    </row>
    <row r="351" spans="1:7" x14ac:dyDescent="0.25">
      <c r="A351" s="29"/>
      <c r="B351" s="30">
        <v>7</v>
      </c>
      <c r="C351" s="30" t="s">
        <v>374</v>
      </c>
      <c r="D351" s="30" t="s">
        <v>55</v>
      </c>
      <c r="E351" s="30">
        <v>2</v>
      </c>
      <c r="F351" s="31" t="s">
        <v>372</v>
      </c>
      <c r="G351" s="25" t="str">
        <f t="shared" si="5"/>
        <v>Dim pSuspension Reason 3 As string * 2'Value in Message Category SS (S6 Policy Suspend Reasons)</v>
      </c>
    </row>
  </sheetData>
  <pageMargins left="0.25" right="0.25" top="0.25" bottom="0.25" header="0.3" footer="0.3"/>
  <pageSetup paperSize="9" scale="80" fitToHeight="20" orientation="landscape" horizontalDpi="0" verticalDpi="0" r:id="rId1"/>
  <rowBreaks count="9" manualBreakCount="9">
    <brk id="41" max="16383" man="1"/>
    <brk id="69" max="16383" man="1"/>
    <brk id="110" max="16383" man="1"/>
    <brk id="153" max="16383" man="1"/>
    <brk id="186" max="16383" man="1"/>
    <brk id="215" max="16383" man="1"/>
    <brk id="258" max="16383" man="1"/>
    <brk id="301" max="16383" man="1"/>
    <brk id="344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Test</vt:lpstr>
      <vt:lpstr>Test Result</vt:lpstr>
      <vt:lpstr>Sheet3</vt:lpstr>
      <vt:lpstr>Segment Definition</vt:lpstr>
      <vt:lpstr>'Segment Definition'!botl_segment</vt:lpstr>
      <vt:lpstr>'Segment Definition'!Print_Titles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dcterms:created xsi:type="dcterms:W3CDTF">2012-06-04T02:37:53Z</dcterms:created>
  <dcterms:modified xsi:type="dcterms:W3CDTF">2012-06-06T03:43:06Z</dcterms:modified>
</cp:coreProperties>
</file>